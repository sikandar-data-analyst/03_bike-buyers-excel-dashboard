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Excel Notes\"/>
    </mc:Choice>
  </mc:AlternateContent>
  <xr:revisionPtr revIDLastSave="0" documentId="13_ncr:1_{0069BCCE-EA69-4C55-B1A6-EA584111830B}" xr6:coauthVersionLast="47" xr6:coauthVersionMax="47" xr10:uidLastSave="{00000000-0000-0000-0000-000000000000}"/>
  <bookViews>
    <workbookView xWindow="-120" yWindow="-120" windowWidth="29040" windowHeight="15720" activeTab="2" xr2:uid="{00000000-000D-0000-FFFF-FFFF00000000}"/>
  </bookViews>
  <sheets>
    <sheet name="bike_buyers" sheetId="1" r:id="rId1"/>
    <sheet name="Working Sheet" sheetId="4" r:id="rId2"/>
    <sheet name="Pivot Table" sheetId="5" r:id="rId3"/>
    <sheet name="Dashbord" sheetId="6" r:id="rId4"/>
  </sheets>
  <definedNames>
    <definedName name="_xlnm._FilterDatabase" localSheetId="0" hidden="1">bike_buyers!$A$1:$M$1001</definedName>
    <definedName name="Slicer_Education">#N/A</definedName>
    <definedName name="Slicer_Marriedarital_Single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<sst xmlns="http://schemas.openxmlformats.org/spreadsheetml/2006/main" count="16274" uniqueCount="52">
  <si>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</si>
  <si>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</si>
  <si>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</si>
  <si>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</si>
  <si>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</si>
  <si>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</si>
  <si>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</si>
  <si>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</si>
  <si>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</si>
  <si>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</si>
  <si>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</si>
  <si>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</si>
  <si>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</si>
  <si>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</si>
  <si>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</si>
  <si>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</si>
  <si>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</si>
  <si>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</si>
  <si>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</si>
  <si>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</si>
  <si>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</si>
  <si>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</si>
  <si>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</si>
  <si>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</si>
  <si>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</si>
  <si>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</si>
  <si>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</si>
  <si>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</si>
  <si>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</si>
  <si>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</si>
  <si>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</si>
  <si>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</si>
  <si>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</si>
  <si>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</si>
  <si>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</si>
  <si>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</si>
  <si>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</si>
  <si>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</si>
  <si>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Marriedarital Singletatus</t>
  </si>
  <si>
    <t>Male</t>
  </si>
  <si>
    <t>Female</t>
  </si>
  <si>
    <t>Age Brakets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</si>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</sst>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_ ;_-[$$-409]* \-#,##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b/>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13" fillId="33" borderId="0" xfId="0" applyFont="1" applyFill="1"/>
    <xf numFmtId="0" fontId="20" fillId="33" borderId="0" xfId="0" applyFont="1" applyFill="1"/>
    <xf numFmtId="0" fontId="19" fillId="33" borderId="0" xfId="0" applyFont="1" applyFill="1"/>
    <xf numFmtId="0" fontId="16"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work.xlsx]Pivot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Avarage</a:t>
            </a:r>
            <a:r>
              <a:rPr lang="en-IN" baseline="0"/>
              <a:t> Income Per Purchase</a:t>
            </a:r>
            <a:endParaRPr lang="en-IN"/>
          </a:p>
        </c:rich>
      </c:tx>
      <c:layout>
        <c:manualLayout>
          <c:xMode val="edge"/>
          <c:yMode val="edge"/>
          <c:x val="0.26167344706911638"/>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08770778652668"/>
          <c:y val="0.19775891174396151"/>
          <c:w val="0.63535673665791781"/>
          <c:h val="0.54401412929110737"/>
        </c:manualLayout>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Table'!$A$7:$A$9</c:f>
              <c:strCache>
                <c:ptCount val="2"/>
                <c:pt idx="0">
                  <c:v>Female</c:v>
                </c:pt>
                <c:pt idx="1">
                  <c:v>Male</c:v>
                </c:pt>
              </c:strCache>
            </c:strRef>
          </c:cat>
          <c:val>
            <c:numRef>
              <c:f>'Pivot Table'!$B$7:$B$9</c:f>
              <c:numCache>
                <c:formatCode>0</c:formatCode>
                <c:ptCount val="2"/>
                <c:pt idx="0">
                  <c:v>71111.111111111109</c:v>
                </c:pt>
                <c:pt idx="1">
                  <c:v>66774.193548387091</c:v>
                </c:pt>
              </c:numCache>
            </c:numRef>
          </c:val>
          <c:extLst>
            <c:ext xmlns:c16="http://schemas.microsoft.com/office/drawing/2014/chart" uri="{C3380CC4-5D6E-409C-BE32-E72D297353CC}">
              <c16:uniqueId val="{00000000-F978-43DF-BAD2-42F180A63A37}"/>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Table'!$A$7:$A$9</c:f>
              <c:strCache>
                <c:ptCount val="2"/>
                <c:pt idx="0">
                  <c:v>Female</c:v>
                </c:pt>
                <c:pt idx="1">
                  <c:v>Male</c:v>
                </c:pt>
              </c:strCache>
            </c:strRef>
          </c:cat>
          <c:val>
            <c:numRef>
              <c:f>'Pivot Table'!$C$7:$C$9</c:f>
              <c:numCache>
                <c:formatCode>0</c:formatCode>
                <c:ptCount val="2"/>
                <c:pt idx="0">
                  <c:v>76875</c:v>
                </c:pt>
                <c:pt idx="1">
                  <c:v>61250</c:v>
                </c:pt>
              </c:numCache>
            </c:numRef>
          </c:val>
          <c:extLst>
            <c:ext xmlns:c16="http://schemas.microsoft.com/office/drawing/2014/chart" uri="{C3380CC4-5D6E-409C-BE32-E72D297353CC}">
              <c16:uniqueId val="{00000001-F978-43DF-BAD2-42F180A63A37}"/>
            </c:ext>
          </c:extLst>
        </c:ser>
        <c:dLbls>
          <c:showLegendKey val="0"/>
          <c:showVal val="0"/>
          <c:showCatName val="0"/>
          <c:showSerName val="0"/>
          <c:showPercent val="0"/>
          <c:showBubbleSize val="0"/>
        </c:dLbls>
        <c:gapWidth val="219"/>
        <c:overlap val="-27"/>
        <c:axId val="1571364431"/>
        <c:axId val="1571363951"/>
      </c:barChart>
      <c:catAx>
        <c:axId val="157136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363951"/>
        <c:crosses val="autoZero"/>
        <c:auto val="1"/>
        <c:lblAlgn val="ctr"/>
        <c:lblOffset val="100"/>
        <c:noMultiLvlLbl val="0"/>
      </c:catAx>
      <c:valAx>
        <c:axId val="1571363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3644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work.xlsx]Pivot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47</c:v>
                </c:pt>
                <c:pt idx="1">
                  <c:v>38</c:v>
                </c:pt>
                <c:pt idx="2">
                  <c:v>25</c:v>
                </c:pt>
                <c:pt idx="3">
                  <c:v>43</c:v>
                </c:pt>
                <c:pt idx="4">
                  <c:v>37</c:v>
                </c:pt>
              </c:numCache>
            </c:numRef>
          </c:val>
          <c:smooth val="0"/>
          <c:extLst>
            <c:ext xmlns:c16="http://schemas.microsoft.com/office/drawing/2014/chart" uri="{C3380CC4-5D6E-409C-BE32-E72D297353CC}">
              <c16:uniqueId val="{00000000-5AB1-487D-A505-314DCE812D65}"/>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30</c:v>
                </c:pt>
                <c:pt idx="1">
                  <c:v>23</c:v>
                </c:pt>
                <c:pt idx="2">
                  <c:v>34</c:v>
                </c:pt>
                <c:pt idx="3">
                  <c:v>17</c:v>
                </c:pt>
                <c:pt idx="4">
                  <c:v>3</c:v>
                </c:pt>
              </c:numCache>
            </c:numRef>
          </c:val>
          <c:smooth val="0"/>
          <c:extLst>
            <c:ext xmlns:c16="http://schemas.microsoft.com/office/drawing/2014/chart" uri="{C3380CC4-5D6E-409C-BE32-E72D297353CC}">
              <c16:uniqueId val="{00000001-5AB1-487D-A505-314DCE812D65}"/>
            </c:ext>
          </c:extLst>
        </c:ser>
        <c:dLbls>
          <c:showLegendKey val="0"/>
          <c:showVal val="0"/>
          <c:showCatName val="0"/>
          <c:showSerName val="0"/>
          <c:showPercent val="0"/>
          <c:showBubbleSize val="0"/>
        </c:dLbls>
        <c:smooth val="0"/>
        <c:axId val="1465161855"/>
        <c:axId val="1465148415"/>
      </c:lineChart>
      <c:catAx>
        <c:axId val="1465161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manualLayout>
              <c:xMode val="edge"/>
              <c:yMode val="edge"/>
              <c:x val="0.35854046369203851"/>
              <c:y val="0.799369254235890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148415"/>
        <c:crosses val="autoZero"/>
        <c:auto val="1"/>
        <c:lblAlgn val="ctr"/>
        <c:lblOffset val="100"/>
        <c:noMultiLvlLbl val="0"/>
      </c:catAx>
      <c:valAx>
        <c:axId val="146514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16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work.xlsx]Pivot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Customr</a:t>
            </a:r>
            <a:r>
              <a:rPr lang="en-IN" baseline="0"/>
              <a:t>er Age Brakets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Adolescent</c:v>
                </c:pt>
                <c:pt idx="1">
                  <c:v>Middle Age</c:v>
                </c:pt>
                <c:pt idx="2">
                  <c:v>Old</c:v>
                </c:pt>
              </c:strCache>
            </c:strRef>
          </c:cat>
          <c:val>
            <c:numRef>
              <c:f>'Pivot Table'!$B$49:$B$52</c:f>
              <c:numCache>
                <c:formatCode>General</c:formatCode>
                <c:ptCount val="3"/>
                <c:pt idx="0">
                  <c:v>19</c:v>
                </c:pt>
                <c:pt idx="1">
                  <c:v>110</c:v>
                </c:pt>
                <c:pt idx="2">
                  <c:v>61</c:v>
                </c:pt>
              </c:numCache>
            </c:numRef>
          </c:val>
          <c:smooth val="0"/>
          <c:extLst>
            <c:ext xmlns:c16="http://schemas.microsoft.com/office/drawing/2014/chart" uri="{C3380CC4-5D6E-409C-BE32-E72D297353CC}">
              <c16:uniqueId val="{00000000-2501-40A2-B0E8-A67F177CFE6C}"/>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Adolescent</c:v>
                </c:pt>
                <c:pt idx="1">
                  <c:v>Middle Age</c:v>
                </c:pt>
                <c:pt idx="2">
                  <c:v>Old</c:v>
                </c:pt>
              </c:strCache>
            </c:strRef>
          </c:cat>
          <c:val>
            <c:numRef>
              <c:f>'Pivot Table'!$C$49:$C$52</c:f>
              <c:numCache>
                <c:formatCode>General</c:formatCode>
                <c:ptCount val="3"/>
                <c:pt idx="0">
                  <c:v>5</c:v>
                </c:pt>
                <c:pt idx="1">
                  <c:v>86</c:v>
                </c:pt>
                <c:pt idx="2">
                  <c:v>16</c:v>
                </c:pt>
              </c:numCache>
            </c:numRef>
          </c:val>
          <c:smooth val="0"/>
          <c:extLst>
            <c:ext xmlns:c16="http://schemas.microsoft.com/office/drawing/2014/chart" uri="{C3380CC4-5D6E-409C-BE32-E72D297353CC}">
              <c16:uniqueId val="{00000001-2501-40A2-B0E8-A67F177CFE6C}"/>
            </c:ext>
          </c:extLst>
        </c:ser>
        <c:dLbls>
          <c:showLegendKey val="0"/>
          <c:showVal val="0"/>
          <c:showCatName val="0"/>
          <c:showSerName val="0"/>
          <c:showPercent val="0"/>
          <c:showBubbleSize val="0"/>
        </c:dLbls>
        <c:marker val="1"/>
        <c:smooth val="0"/>
        <c:axId val="1560517247"/>
        <c:axId val="1560523487"/>
      </c:lineChart>
      <c:catAx>
        <c:axId val="1560517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Braket</a:t>
                </a:r>
                <a:endParaRPr lang="en-IN"/>
              </a:p>
            </c:rich>
          </c:tx>
          <c:layout>
            <c:manualLayout>
              <c:xMode val="edge"/>
              <c:yMode val="edge"/>
              <c:x val="0.35716535433070867"/>
              <c:y val="0.791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523487"/>
        <c:crosses val="autoZero"/>
        <c:auto val="1"/>
        <c:lblAlgn val="ctr"/>
        <c:lblOffset val="100"/>
        <c:noMultiLvlLbl val="0"/>
      </c:catAx>
      <c:valAx>
        <c:axId val="156052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51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work.xlsx]Pivot Table!PivotTable6</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Table'!$B$67:$B$68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Table'!$A$69:$A$117</c:f>
              <c:strCache>
                <c:ptCount val="48"/>
                <c:pt idx="0">
                  <c:v>26</c:v>
                </c:pt>
                <c:pt idx="1">
                  <c:v>27</c:v>
                </c:pt>
                <c:pt idx="2">
                  <c:v>28</c:v>
                </c:pt>
                <c:pt idx="3">
                  <c:v>29</c:v>
                </c:pt>
                <c:pt idx="4">
                  <c:v>30</c:v>
                </c:pt>
                <c:pt idx="5">
                  <c:v>31</c:v>
                </c:pt>
                <c:pt idx="6">
                  <c:v>32</c:v>
                </c:pt>
                <c:pt idx="7">
                  <c:v>33</c:v>
                </c:pt>
                <c:pt idx="8">
                  <c:v>34</c:v>
                </c:pt>
                <c:pt idx="9">
                  <c:v>35</c:v>
                </c:pt>
                <c:pt idx="10">
                  <c:v>36</c:v>
                </c:pt>
                <c:pt idx="11">
                  <c:v>37</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pt idx="34">
                  <c:v>60</c:v>
                </c:pt>
                <c:pt idx="35">
                  <c:v>61</c:v>
                </c:pt>
                <c:pt idx="36">
                  <c:v>62</c:v>
                </c:pt>
                <c:pt idx="37">
                  <c:v>63</c:v>
                </c:pt>
                <c:pt idx="38">
                  <c:v>64</c:v>
                </c:pt>
                <c:pt idx="39">
                  <c:v>65</c:v>
                </c:pt>
                <c:pt idx="40">
                  <c:v>66</c:v>
                </c:pt>
                <c:pt idx="41">
                  <c:v>67</c:v>
                </c:pt>
                <c:pt idx="42">
                  <c:v>68</c:v>
                </c:pt>
                <c:pt idx="43">
                  <c:v>69</c:v>
                </c:pt>
                <c:pt idx="44">
                  <c:v>70</c:v>
                </c:pt>
                <c:pt idx="45">
                  <c:v>71</c:v>
                </c:pt>
                <c:pt idx="46">
                  <c:v>72</c:v>
                </c:pt>
                <c:pt idx="47">
                  <c:v>73</c:v>
                </c:pt>
              </c:strCache>
            </c:strRef>
          </c:cat>
          <c:val>
            <c:numRef>
              <c:f>'Pivot Table'!$B$69:$B$117</c:f>
              <c:numCache>
                <c:formatCode>General</c:formatCode>
                <c:ptCount val="48"/>
                <c:pt idx="0">
                  <c:v>1</c:v>
                </c:pt>
                <c:pt idx="1">
                  <c:v>5</c:v>
                </c:pt>
                <c:pt idx="2">
                  <c:v>4</c:v>
                </c:pt>
                <c:pt idx="3">
                  <c:v>4</c:v>
                </c:pt>
                <c:pt idx="4">
                  <c:v>5</c:v>
                </c:pt>
                <c:pt idx="5">
                  <c:v>5</c:v>
                </c:pt>
                <c:pt idx="6">
                  <c:v>6</c:v>
                </c:pt>
                <c:pt idx="7">
                  <c:v>2</c:v>
                </c:pt>
                <c:pt idx="8">
                  <c:v>4</c:v>
                </c:pt>
                <c:pt idx="9">
                  <c:v>3</c:v>
                </c:pt>
                <c:pt idx="10">
                  <c:v>2</c:v>
                </c:pt>
                <c:pt idx="11">
                  <c:v>1</c:v>
                </c:pt>
                <c:pt idx="12">
                  <c:v>2</c:v>
                </c:pt>
                <c:pt idx="13">
                  <c:v>3</c:v>
                </c:pt>
                <c:pt idx="14">
                  <c:v>8</c:v>
                </c:pt>
                <c:pt idx="15">
                  <c:v>7</c:v>
                </c:pt>
                <c:pt idx="16">
                  <c:v>7</c:v>
                </c:pt>
                <c:pt idx="17">
                  <c:v>3</c:v>
                </c:pt>
                <c:pt idx="18">
                  <c:v>4</c:v>
                </c:pt>
                <c:pt idx="19">
                  <c:v>7</c:v>
                </c:pt>
                <c:pt idx="20">
                  <c:v>6</c:v>
                </c:pt>
                <c:pt idx="21">
                  <c:v>9</c:v>
                </c:pt>
                <c:pt idx="22">
                  <c:v>5</c:v>
                </c:pt>
                <c:pt idx="23">
                  <c:v>8</c:v>
                </c:pt>
                <c:pt idx="24">
                  <c:v>4</c:v>
                </c:pt>
                <c:pt idx="25">
                  <c:v>4</c:v>
                </c:pt>
                <c:pt idx="26">
                  <c:v>3</c:v>
                </c:pt>
                <c:pt idx="27">
                  <c:v>7</c:v>
                </c:pt>
                <c:pt idx="28">
                  <c:v>2</c:v>
                </c:pt>
                <c:pt idx="29">
                  <c:v>8</c:v>
                </c:pt>
                <c:pt idx="30">
                  <c:v>5</c:v>
                </c:pt>
                <c:pt idx="32">
                  <c:v>2</c:v>
                </c:pt>
                <c:pt idx="33">
                  <c:v>9</c:v>
                </c:pt>
                <c:pt idx="34">
                  <c:v>5</c:v>
                </c:pt>
                <c:pt idx="35">
                  <c:v>3</c:v>
                </c:pt>
                <c:pt idx="36">
                  <c:v>1</c:v>
                </c:pt>
                <c:pt idx="37">
                  <c:v>4</c:v>
                </c:pt>
                <c:pt idx="38">
                  <c:v>6</c:v>
                </c:pt>
                <c:pt idx="39">
                  <c:v>1</c:v>
                </c:pt>
                <c:pt idx="40">
                  <c:v>4</c:v>
                </c:pt>
                <c:pt idx="41">
                  <c:v>2</c:v>
                </c:pt>
                <c:pt idx="42">
                  <c:v>1</c:v>
                </c:pt>
                <c:pt idx="43">
                  <c:v>4</c:v>
                </c:pt>
                <c:pt idx="44">
                  <c:v>2</c:v>
                </c:pt>
                <c:pt idx="45">
                  <c:v>1</c:v>
                </c:pt>
                <c:pt idx="47">
                  <c:v>1</c:v>
                </c:pt>
              </c:numCache>
            </c:numRef>
          </c:val>
          <c:smooth val="0"/>
          <c:extLst>
            <c:ext xmlns:c16="http://schemas.microsoft.com/office/drawing/2014/chart" uri="{C3380CC4-5D6E-409C-BE32-E72D297353CC}">
              <c16:uniqueId val="{00000000-EF61-44C2-8696-508DBC7D1847}"/>
            </c:ext>
          </c:extLst>
        </c:ser>
        <c:ser>
          <c:idx val="1"/>
          <c:order val="1"/>
          <c:tx>
            <c:strRef>
              <c:f>'Pivot Table'!$C$67:$C$68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Table'!$A$69:$A$117</c:f>
              <c:strCache>
                <c:ptCount val="48"/>
                <c:pt idx="0">
                  <c:v>26</c:v>
                </c:pt>
                <c:pt idx="1">
                  <c:v>27</c:v>
                </c:pt>
                <c:pt idx="2">
                  <c:v>28</c:v>
                </c:pt>
                <c:pt idx="3">
                  <c:v>29</c:v>
                </c:pt>
                <c:pt idx="4">
                  <c:v>30</c:v>
                </c:pt>
                <c:pt idx="5">
                  <c:v>31</c:v>
                </c:pt>
                <c:pt idx="6">
                  <c:v>32</c:v>
                </c:pt>
                <c:pt idx="7">
                  <c:v>33</c:v>
                </c:pt>
                <c:pt idx="8">
                  <c:v>34</c:v>
                </c:pt>
                <c:pt idx="9">
                  <c:v>35</c:v>
                </c:pt>
                <c:pt idx="10">
                  <c:v>36</c:v>
                </c:pt>
                <c:pt idx="11">
                  <c:v>37</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pt idx="34">
                  <c:v>60</c:v>
                </c:pt>
                <c:pt idx="35">
                  <c:v>61</c:v>
                </c:pt>
                <c:pt idx="36">
                  <c:v>62</c:v>
                </c:pt>
                <c:pt idx="37">
                  <c:v>63</c:v>
                </c:pt>
                <c:pt idx="38">
                  <c:v>64</c:v>
                </c:pt>
                <c:pt idx="39">
                  <c:v>65</c:v>
                </c:pt>
                <c:pt idx="40">
                  <c:v>66</c:v>
                </c:pt>
                <c:pt idx="41">
                  <c:v>67</c:v>
                </c:pt>
                <c:pt idx="42">
                  <c:v>68</c:v>
                </c:pt>
                <c:pt idx="43">
                  <c:v>69</c:v>
                </c:pt>
                <c:pt idx="44">
                  <c:v>70</c:v>
                </c:pt>
                <c:pt idx="45">
                  <c:v>71</c:v>
                </c:pt>
                <c:pt idx="46">
                  <c:v>72</c:v>
                </c:pt>
                <c:pt idx="47">
                  <c:v>73</c:v>
                </c:pt>
              </c:strCache>
            </c:strRef>
          </c:cat>
          <c:val>
            <c:numRef>
              <c:f>'Pivot Table'!$C$69:$C$117</c:f>
              <c:numCache>
                <c:formatCode>General</c:formatCode>
                <c:ptCount val="48"/>
                <c:pt idx="1">
                  <c:v>2</c:v>
                </c:pt>
                <c:pt idx="2">
                  <c:v>3</c:v>
                </c:pt>
                <c:pt idx="6">
                  <c:v>3</c:v>
                </c:pt>
                <c:pt idx="7">
                  <c:v>3</c:v>
                </c:pt>
                <c:pt idx="8">
                  <c:v>9</c:v>
                </c:pt>
                <c:pt idx="9">
                  <c:v>7</c:v>
                </c:pt>
                <c:pt idx="10">
                  <c:v>6</c:v>
                </c:pt>
                <c:pt idx="11">
                  <c:v>2</c:v>
                </c:pt>
                <c:pt idx="12">
                  <c:v>2</c:v>
                </c:pt>
                <c:pt idx="13">
                  <c:v>1</c:v>
                </c:pt>
                <c:pt idx="14">
                  <c:v>2</c:v>
                </c:pt>
                <c:pt idx="15">
                  <c:v>1</c:v>
                </c:pt>
                <c:pt idx="16">
                  <c:v>3</c:v>
                </c:pt>
                <c:pt idx="17">
                  <c:v>3</c:v>
                </c:pt>
                <c:pt idx="18">
                  <c:v>6</c:v>
                </c:pt>
                <c:pt idx="19">
                  <c:v>6</c:v>
                </c:pt>
                <c:pt idx="20">
                  <c:v>3</c:v>
                </c:pt>
                <c:pt idx="21">
                  <c:v>4</c:v>
                </c:pt>
                <c:pt idx="22">
                  <c:v>9</c:v>
                </c:pt>
                <c:pt idx="23">
                  <c:v>5</c:v>
                </c:pt>
                <c:pt idx="24">
                  <c:v>2</c:v>
                </c:pt>
                <c:pt idx="25">
                  <c:v>3</c:v>
                </c:pt>
                <c:pt idx="26">
                  <c:v>3</c:v>
                </c:pt>
                <c:pt idx="27">
                  <c:v>3</c:v>
                </c:pt>
                <c:pt idx="28">
                  <c:v>3</c:v>
                </c:pt>
                <c:pt idx="29">
                  <c:v>1</c:v>
                </c:pt>
                <c:pt idx="30">
                  <c:v>1</c:v>
                </c:pt>
                <c:pt idx="31">
                  <c:v>4</c:v>
                </c:pt>
                <c:pt idx="33">
                  <c:v>1</c:v>
                </c:pt>
                <c:pt idx="35">
                  <c:v>1</c:v>
                </c:pt>
                <c:pt idx="37">
                  <c:v>1</c:v>
                </c:pt>
                <c:pt idx="38">
                  <c:v>1</c:v>
                </c:pt>
                <c:pt idx="40">
                  <c:v>1</c:v>
                </c:pt>
                <c:pt idx="46">
                  <c:v>1</c:v>
                </c:pt>
                <c:pt idx="47">
                  <c:v>1</c:v>
                </c:pt>
              </c:numCache>
            </c:numRef>
          </c:val>
          <c:smooth val="0"/>
          <c:extLst>
            <c:ext xmlns:c16="http://schemas.microsoft.com/office/drawing/2014/chart" uri="{C3380CC4-5D6E-409C-BE32-E72D297353CC}">
              <c16:uniqueId val="{00000001-EF61-44C2-8696-508DBC7D1847}"/>
            </c:ext>
          </c:extLst>
        </c:ser>
        <c:dLbls>
          <c:showLegendKey val="0"/>
          <c:showVal val="0"/>
          <c:showCatName val="0"/>
          <c:showSerName val="0"/>
          <c:showPercent val="0"/>
          <c:showBubbleSize val="0"/>
        </c:dLbls>
        <c:marker val="1"/>
        <c:smooth val="0"/>
        <c:axId val="2129361983"/>
        <c:axId val="2129362463"/>
      </c:lineChart>
      <c:catAx>
        <c:axId val="212936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362463"/>
        <c:crosses val="autoZero"/>
        <c:auto val="1"/>
        <c:lblAlgn val="ctr"/>
        <c:lblOffset val="100"/>
        <c:noMultiLvlLbl val="0"/>
      </c:catAx>
      <c:valAx>
        <c:axId val="212936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36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work.xlsx]Pivot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Avarage</a:t>
            </a:r>
            <a:r>
              <a:rPr lang="en-IN" baseline="0"/>
              <a:t> Income Per Purchase</a:t>
            </a:r>
            <a:endParaRPr lang="en-IN"/>
          </a:p>
        </c:rich>
      </c:tx>
      <c:layout>
        <c:manualLayout>
          <c:xMode val="edge"/>
          <c:yMode val="edge"/>
          <c:x val="0.26167344706911638"/>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19337355557829"/>
          <c:y val="0.21333513217389885"/>
          <c:w val="0.63535673665791781"/>
          <c:h val="0.54401412929110737"/>
        </c:manualLayout>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Table'!$A$7:$A$9</c:f>
              <c:strCache>
                <c:ptCount val="2"/>
                <c:pt idx="0">
                  <c:v>Female</c:v>
                </c:pt>
                <c:pt idx="1">
                  <c:v>Male</c:v>
                </c:pt>
              </c:strCache>
            </c:strRef>
          </c:cat>
          <c:val>
            <c:numRef>
              <c:f>'Pivot Table'!$B$7:$B$9</c:f>
              <c:numCache>
                <c:formatCode>0</c:formatCode>
                <c:ptCount val="2"/>
                <c:pt idx="0">
                  <c:v>71111.111111111109</c:v>
                </c:pt>
                <c:pt idx="1">
                  <c:v>66774.193548387091</c:v>
                </c:pt>
              </c:numCache>
            </c:numRef>
          </c:val>
          <c:extLst>
            <c:ext xmlns:c16="http://schemas.microsoft.com/office/drawing/2014/chart" uri="{C3380CC4-5D6E-409C-BE32-E72D297353CC}">
              <c16:uniqueId val="{00000000-C9C0-4151-8CC0-B9A3A67671AD}"/>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Table'!$A$7:$A$9</c:f>
              <c:strCache>
                <c:ptCount val="2"/>
                <c:pt idx="0">
                  <c:v>Female</c:v>
                </c:pt>
                <c:pt idx="1">
                  <c:v>Male</c:v>
                </c:pt>
              </c:strCache>
            </c:strRef>
          </c:cat>
          <c:val>
            <c:numRef>
              <c:f>'Pivot Table'!$C$7:$C$9</c:f>
              <c:numCache>
                <c:formatCode>0</c:formatCode>
                <c:ptCount val="2"/>
                <c:pt idx="0">
                  <c:v>76875</c:v>
                </c:pt>
                <c:pt idx="1">
                  <c:v>61250</c:v>
                </c:pt>
              </c:numCache>
            </c:numRef>
          </c:val>
          <c:extLst>
            <c:ext xmlns:c16="http://schemas.microsoft.com/office/drawing/2014/chart" uri="{C3380CC4-5D6E-409C-BE32-E72D297353CC}">
              <c16:uniqueId val="{00000001-C9C0-4151-8CC0-B9A3A67671AD}"/>
            </c:ext>
          </c:extLst>
        </c:ser>
        <c:dLbls>
          <c:showLegendKey val="0"/>
          <c:showVal val="0"/>
          <c:showCatName val="0"/>
          <c:showSerName val="0"/>
          <c:showPercent val="0"/>
          <c:showBubbleSize val="0"/>
        </c:dLbls>
        <c:gapWidth val="219"/>
        <c:overlap val="-27"/>
        <c:axId val="1571364431"/>
        <c:axId val="1571363951"/>
      </c:barChart>
      <c:catAx>
        <c:axId val="157136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363951"/>
        <c:crosses val="autoZero"/>
        <c:auto val="1"/>
        <c:lblAlgn val="ctr"/>
        <c:lblOffset val="100"/>
        <c:noMultiLvlLbl val="0"/>
      </c:catAx>
      <c:valAx>
        <c:axId val="1571363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3644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work.xlsx]Pivot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47</c:v>
                </c:pt>
                <c:pt idx="1">
                  <c:v>38</c:v>
                </c:pt>
                <c:pt idx="2">
                  <c:v>25</c:v>
                </c:pt>
                <c:pt idx="3">
                  <c:v>43</c:v>
                </c:pt>
                <c:pt idx="4">
                  <c:v>37</c:v>
                </c:pt>
              </c:numCache>
            </c:numRef>
          </c:val>
          <c:smooth val="0"/>
          <c:extLst>
            <c:ext xmlns:c16="http://schemas.microsoft.com/office/drawing/2014/chart" uri="{C3380CC4-5D6E-409C-BE32-E72D297353CC}">
              <c16:uniqueId val="{00000000-DC09-4D7C-9A85-9FE920DF88B2}"/>
            </c:ext>
          </c:extLst>
        </c:ser>
        <c:ser>
          <c:idx val="1"/>
          <c:order val="1"/>
          <c:tx>
            <c:strRef>
              <c:f>'Pivot Table'!$C$25:$C$26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30</c:v>
                </c:pt>
                <c:pt idx="1">
                  <c:v>23</c:v>
                </c:pt>
                <c:pt idx="2">
                  <c:v>34</c:v>
                </c:pt>
                <c:pt idx="3">
                  <c:v>17</c:v>
                </c:pt>
                <c:pt idx="4">
                  <c:v>3</c:v>
                </c:pt>
              </c:numCache>
            </c:numRef>
          </c:val>
          <c:smooth val="0"/>
          <c:extLst>
            <c:ext xmlns:c16="http://schemas.microsoft.com/office/drawing/2014/chart" uri="{C3380CC4-5D6E-409C-BE32-E72D297353CC}">
              <c16:uniqueId val="{00000001-DC09-4D7C-9A85-9FE920DF88B2}"/>
            </c:ext>
          </c:extLst>
        </c:ser>
        <c:dLbls>
          <c:showLegendKey val="0"/>
          <c:showVal val="0"/>
          <c:showCatName val="0"/>
          <c:showSerName val="0"/>
          <c:showPercent val="0"/>
          <c:showBubbleSize val="0"/>
        </c:dLbls>
        <c:marker val="1"/>
        <c:smooth val="0"/>
        <c:axId val="1465161855"/>
        <c:axId val="1465148415"/>
      </c:lineChart>
      <c:catAx>
        <c:axId val="1465161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manualLayout>
              <c:xMode val="edge"/>
              <c:yMode val="edge"/>
              <c:x val="0.35854046369203851"/>
              <c:y val="0.799369254235890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148415"/>
        <c:crosses val="autoZero"/>
        <c:auto val="1"/>
        <c:lblAlgn val="ctr"/>
        <c:lblOffset val="100"/>
        <c:noMultiLvlLbl val="0"/>
      </c:catAx>
      <c:valAx>
        <c:axId val="146514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16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work.xlsx]Pivot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Customr</a:t>
            </a:r>
            <a:r>
              <a:rPr lang="en-IN" baseline="0"/>
              <a:t>er Age Brakets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Adolescent</c:v>
                </c:pt>
                <c:pt idx="1">
                  <c:v>Middle Age</c:v>
                </c:pt>
                <c:pt idx="2">
                  <c:v>Old</c:v>
                </c:pt>
              </c:strCache>
            </c:strRef>
          </c:cat>
          <c:val>
            <c:numRef>
              <c:f>'Pivot Table'!$B$49:$B$52</c:f>
              <c:numCache>
                <c:formatCode>General</c:formatCode>
                <c:ptCount val="3"/>
                <c:pt idx="0">
                  <c:v>19</c:v>
                </c:pt>
                <c:pt idx="1">
                  <c:v>110</c:v>
                </c:pt>
                <c:pt idx="2">
                  <c:v>61</c:v>
                </c:pt>
              </c:numCache>
            </c:numRef>
          </c:val>
          <c:smooth val="0"/>
          <c:extLst>
            <c:ext xmlns:c16="http://schemas.microsoft.com/office/drawing/2014/chart" uri="{C3380CC4-5D6E-409C-BE32-E72D297353CC}">
              <c16:uniqueId val="{00000000-4BEF-452A-AE11-827661AE32A9}"/>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Adolescent</c:v>
                </c:pt>
                <c:pt idx="1">
                  <c:v>Middle Age</c:v>
                </c:pt>
                <c:pt idx="2">
                  <c:v>Old</c:v>
                </c:pt>
              </c:strCache>
            </c:strRef>
          </c:cat>
          <c:val>
            <c:numRef>
              <c:f>'Pivot Table'!$C$49:$C$52</c:f>
              <c:numCache>
                <c:formatCode>General</c:formatCode>
                <c:ptCount val="3"/>
                <c:pt idx="0">
                  <c:v>5</c:v>
                </c:pt>
                <c:pt idx="1">
                  <c:v>86</c:v>
                </c:pt>
                <c:pt idx="2">
                  <c:v>16</c:v>
                </c:pt>
              </c:numCache>
            </c:numRef>
          </c:val>
          <c:smooth val="0"/>
          <c:extLst>
            <c:ext xmlns:c16="http://schemas.microsoft.com/office/drawing/2014/chart" uri="{C3380CC4-5D6E-409C-BE32-E72D297353CC}">
              <c16:uniqueId val="{00000001-4BEF-452A-AE11-827661AE32A9}"/>
            </c:ext>
          </c:extLst>
        </c:ser>
        <c:dLbls>
          <c:showLegendKey val="0"/>
          <c:showVal val="0"/>
          <c:showCatName val="0"/>
          <c:showSerName val="0"/>
          <c:showPercent val="0"/>
          <c:showBubbleSize val="0"/>
        </c:dLbls>
        <c:marker val="1"/>
        <c:smooth val="0"/>
        <c:axId val="1560517247"/>
        <c:axId val="1560523487"/>
      </c:lineChart>
      <c:catAx>
        <c:axId val="1560517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Braket</a:t>
                </a:r>
                <a:endParaRPr lang="en-IN"/>
              </a:p>
            </c:rich>
          </c:tx>
          <c:layout>
            <c:manualLayout>
              <c:xMode val="edge"/>
              <c:yMode val="edge"/>
              <c:x val="0.35716535433070867"/>
              <c:y val="0.791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523487"/>
        <c:crosses val="autoZero"/>
        <c:auto val="1"/>
        <c:lblAlgn val="ctr"/>
        <c:lblOffset val="100"/>
        <c:noMultiLvlLbl val="0"/>
      </c:catAx>
      <c:valAx>
        <c:axId val="156052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51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213360</xdr:colOff>
      <xdr:row>1</xdr:row>
      <xdr:rowOff>152400</xdr:rowOff>
    </xdr:from>
    <xdr:to>
      <xdr:col>12</xdr:col>
      <xdr:colOff>518160</xdr:colOff>
      <xdr:row>16</xdr:row>
      <xdr:rowOff>152400</xdr:rowOff>
    </xdr:to>
    <xdr:graphicFrame macro="">
      <xdr:nvGraphicFramePr>
        <xdr:cNvPr id="2" name="Chart 1">
          <a:extLst>
            <a:ext uri="{FF2B5EF4-FFF2-40B4-BE49-F238E27FC236}">
              <a16:creationId xmlns:a16="http://schemas.microsoft.com/office/drawing/2014/main" id="{7EFC8808-6D69-45B2-7C44-44757375E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xdr:colOff>
      <xdr:row>23</xdr:row>
      <xdr:rowOff>175260</xdr:rowOff>
    </xdr:from>
    <xdr:to>
      <xdr:col>12</xdr:col>
      <xdr:colOff>327660</xdr:colOff>
      <xdr:row>39</xdr:row>
      <xdr:rowOff>160020</xdr:rowOff>
    </xdr:to>
    <xdr:graphicFrame macro="">
      <xdr:nvGraphicFramePr>
        <xdr:cNvPr id="3" name="Chart 2">
          <a:extLst>
            <a:ext uri="{FF2B5EF4-FFF2-40B4-BE49-F238E27FC236}">
              <a16:creationId xmlns:a16="http://schemas.microsoft.com/office/drawing/2014/main" id="{C5AE02E1-601A-D284-A208-FF7A2B6AB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22860</xdr:colOff>
      <xdr:row>46</xdr:row>
      <xdr:rowOff>7620</xdr:rowOff>
    </xdr:from>
    <xdr:to>
      <xdr:col>12</xdr:col>
      <xdr:colOff>327660</xdr:colOff>
      <xdr:row>61</xdr:row>
      <xdr:rowOff>7620</xdr:rowOff>
    </xdr:to>
    <xdr:graphicFrame macro="">
      <xdr:nvGraphicFramePr>
        <xdr:cNvPr id="4" name="Chart 3">
          <a:extLst>
            <a:ext uri="{FF2B5EF4-FFF2-40B4-BE49-F238E27FC236}">
              <a16:creationId xmlns:a16="http://schemas.microsoft.com/office/drawing/2014/main" id="{FFA7585E-2C3C-445A-B342-AE0CEC194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66</xdr:row>
      <xdr:rowOff>22860</xdr:rowOff>
    </xdr:from>
    <xdr:to>
      <xdr:col>12</xdr:col>
      <xdr:colOff>304800</xdr:colOff>
      <xdr:row>81</xdr:row>
      <xdr:rowOff>22860</xdr:rowOff>
    </xdr:to>
    <xdr:graphicFrame macro="">
      <xdr:nvGraphicFramePr>
        <xdr:cNvPr id="5" name="Chart 4">
          <a:extLst>
            <a:ext uri="{FF2B5EF4-FFF2-40B4-BE49-F238E27FC236}">
              <a16:creationId xmlns:a16="http://schemas.microsoft.com/office/drawing/2014/main" id="{773968EE-A911-172D-8986-2A81D026F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10611</xdr:colOff>
      <xdr:row>9</xdr:row>
      <xdr:rowOff>26666</xdr:rowOff>
    </xdr:from>
    <xdr:to>
      <xdr:col>13</xdr:col>
      <xdr:colOff>609599</xdr:colOff>
      <xdr:row>24</xdr:row>
      <xdr:rowOff>65314</xdr:rowOff>
    </xdr:to>
    <xdr:graphicFrame macro="">
      <xdr:nvGraphicFramePr>
        <xdr:cNvPr id="7" name="Chart 6">
          <a:extLst>
            <a:ext uri="{FF2B5EF4-FFF2-40B4-BE49-F238E27FC236}">
              <a16:creationId xmlns:a16="http://schemas.microsoft.com/office/drawing/2014/main" id="{89ED832F-ACD7-492D-9AC7-40DA75652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609599</xdr:colOff>
      <xdr:row>24</xdr:row>
      <xdr:rowOff>43543</xdr:rowOff>
    </xdr:from>
    <xdr:to>
      <xdr:col>21</xdr:col>
      <xdr:colOff>576943</xdr:colOff>
      <xdr:row>39</xdr:row>
      <xdr:rowOff>106680</xdr:rowOff>
    </xdr:to>
    <xdr:graphicFrame macro="">
      <xdr:nvGraphicFramePr>
        <xdr:cNvPr id="9" name="Chart 8">
          <a:extLst>
            <a:ext uri="{FF2B5EF4-FFF2-40B4-BE49-F238E27FC236}">
              <a16:creationId xmlns:a16="http://schemas.microsoft.com/office/drawing/2014/main" id="{75F9EFD9-52EB-46AE-8B75-086D8EEAA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32657</xdr:colOff>
      <xdr:row>9</xdr:row>
      <xdr:rowOff>7075</xdr:rowOff>
    </xdr:from>
    <xdr:to>
      <xdr:col>21</xdr:col>
      <xdr:colOff>597071</xdr:colOff>
      <xdr:row>24</xdr:row>
      <xdr:rowOff>54428</xdr:rowOff>
    </xdr:to>
    <xdr:graphicFrame macro="">
      <xdr:nvGraphicFramePr>
        <xdr:cNvPr id="11" name="Chart 10">
          <a:extLst>
            <a:ext uri="{FF2B5EF4-FFF2-40B4-BE49-F238E27FC236}">
              <a16:creationId xmlns:a16="http://schemas.microsoft.com/office/drawing/2014/main" id="{52B2E60E-DD8B-4569-9EFB-E5238908D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76200</xdr:colOff>
      <xdr:row>9</xdr:row>
      <xdr:rowOff>37012</xdr:rowOff>
    </xdr:from>
    <xdr:to>
      <xdr:col>6</xdr:col>
      <xdr:colOff>0</xdr:colOff>
      <xdr:row>14</xdr:row>
      <xdr:rowOff>87087</xdr:rowOff>
    </xdr:to>
    <mc:AlternateContent xmlns:mc="http://schemas.openxmlformats.org/markup-compatibility/2006" xmlns:a14="http://schemas.microsoft.com/office/drawing/2010/main">
      <mc:Choice Requires="a14">
        <xdr:graphicFrame macro="">
          <xdr:nvGraphicFramePr>
            <xdr:cNvPr id="12" name="Marriedarital Singletatus">
              <a:extLst>
                <a:ext uri="{FF2B5EF4-FFF2-40B4-BE49-F238E27FC236}">
                  <a16:creationId xmlns:a16="http://schemas.microsoft.com/office/drawing/2014/main" id="{CC40A3AD-BDA5-9A1D-2FBC-48937210BABD}"/>
                </a:ext>
              </a:extLst>
            </xdr:cNvPr>
            <xdr:cNvGraphicFramePr/>
          </xdr:nvGraphicFramePr>
          <xdr:xfrm>
            <a:off x="0" y="0"/>
            <a:ext cx="0" cy="0"/>
          </xdr:xfrm>
          <a:graphic>
            <a:graphicData uri="http://schemas.microsoft.com/office/drawing/2010/slicer">
              <sle:slicer xmlns:sle="http://schemas.microsoft.com/office/drawing/2010/slicer" name="Marriedarital Singletatus"/>
            </a:graphicData>
          </a:graphic>
        </xdr:graphicFrame>
      </mc:Choice>
      <mc:Fallback xmlns="">
        <xdr:sp macro="" textlink="">
          <xdr:nvSpPr>
            <xdr:cNvPr id="0" name=""/>
            <xdr:cNvSpPr>
              <a:spLocks noTextEdit="1"/>
            </xdr:cNvSpPr>
          </xdr:nvSpPr>
          <xdr:spPr>
            <a:xfrm>
              <a:off x="1295400" y="2105298"/>
              <a:ext cx="2362200" cy="97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50074</xdr:colOff>
      <xdr:row>21</xdr:row>
      <xdr:rowOff>10885</xdr:rowOff>
    </xdr:from>
    <xdr:to>
      <xdr:col>5</xdr:col>
      <xdr:colOff>598713</xdr:colOff>
      <xdr:row>30</xdr:row>
      <xdr:rowOff>108857</xdr:rowOff>
    </xdr:to>
    <mc:AlternateContent xmlns:mc="http://schemas.openxmlformats.org/markup-compatibility/2006" xmlns:a14="http://schemas.microsoft.com/office/drawing/2010/main">
      <mc:Choice Requires="a14">
        <xdr:graphicFrame macro="">
          <xdr:nvGraphicFramePr>
            <xdr:cNvPr id="13" name="Education">
              <a:extLst>
                <a:ext uri="{FF2B5EF4-FFF2-40B4-BE49-F238E27FC236}">
                  <a16:creationId xmlns:a16="http://schemas.microsoft.com/office/drawing/2014/main" id="{D8060DD9-60C4-C694-CF74-418BDE75C4B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269274" y="4299856"/>
              <a:ext cx="2377439" cy="1763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51163</xdr:colOff>
      <xdr:row>14</xdr:row>
      <xdr:rowOff>130630</xdr:rowOff>
    </xdr:from>
    <xdr:to>
      <xdr:col>5</xdr:col>
      <xdr:colOff>587829</xdr:colOff>
      <xdr:row>21</xdr:row>
      <xdr:rowOff>10887</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C3CE6141-EFBF-B0C0-B703-2F35FC7853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0363" y="3124201"/>
              <a:ext cx="2365466" cy="117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kandar Khan" refreshedDate="46082.901302199076" createdVersion="8" refreshedVersion="8" minRefreshableVersion="3" recordCount="1000" xr:uid="{B3849A2C-CF3A-4371-8441-C01B183D8600}">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ingle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543724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C1E5E9-96C5-4762-953F-D2E9166156E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7:D117" firstHeaderRow="1" firstDataRow="2" firstDataCol="1"/>
  <pivotFields count="14">
    <pivotField showAll="0"/>
    <pivotField showAll="0">
      <items count="3">
        <item x="0"/>
        <item h="1" x="1"/>
        <item t="default"/>
      </items>
    </pivotField>
    <pivotField showAll="0"/>
    <pivotField numFmtId="165" showAll="0"/>
    <pivotField showAll="0"/>
    <pivotField showAll="0"/>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49">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25F613-89B2-4BC3-92C1-4AE3F589CBC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7:D52" firstHeaderRow="1" firstDataRow="2" firstDataCol="1"/>
  <pivotFields count="14">
    <pivotField showAll="0"/>
    <pivotField showAll="0">
      <items count="3">
        <item x="0"/>
        <item h="1" x="1"/>
        <item t="default"/>
      </items>
    </pivotField>
    <pivotField showAll="0"/>
    <pivotField numFmtId="165" showAll="0"/>
    <pivotField showAll="0"/>
    <pivotField showAll="0"/>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2DD7AC-E78A-4816-9732-EAC673709C4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5:D32" firstHeaderRow="1" firstDataRow="2" firstDataCol="1"/>
  <pivotFields count="14">
    <pivotField showAll="0"/>
    <pivotField showAll="0">
      <items count="3">
        <item x="0"/>
        <item h="1" x="1"/>
        <item t="default"/>
      </items>
    </pivotField>
    <pivotField showAll="0"/>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2" series="1">
      <pivotArea type="data" outline="0" fieldPosition="0">
        <references count="1">
          <reference field="13" count="1" selected="0">
            <x v="0"/>
          </reference>
        </references>
      </pivotArea>
    </chartFormat>
    <chartFormat chart="0" format="3" series="1">
      <pivotArea type="data" outline="0" fieldPosition="0">
        <references count="1">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62640B-52E8-4E60-9D46-4896C84CE0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D9"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5">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 xr10:uid="{9B970560-1059-4582-802D-62193B3B9EE2}" sourceName="Marriedarital Singletatus">
  <pivotTables>
    <pivotTable tabId="5" name="PivotTable1"/>
    <pivotTable tabId="5" name="PivotTable4"/>
    <pivotTable tabId="5" name="PivotTable5"/>
    <pivotTable tabId="5" name="PivotTable6"/>
  </pivotTables>
  <data>
    <tabular pivotCacheId="175437249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2CAE612-6987-4E71-A51C-F8EF10F6E788}" sourceName="Education">
  <pivotTables>
    <pivotTable tabId="5" name="PivotTable1"/>
  </pivotTables>
  <data>
    <tabular pivotCacheId="1754372496">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BC1ABA-56D3-43F9-9052-067523B6C098}" sourceName="Region">
  <pivotTables>
    <pivotTable tabId="5" name="PivotTable1"/>
    <pivotTable tabId="5" name="PivotTable4"/>
    <pivotTable tabId="5" name="PivotTable5"/>
    <pivotTable tabId="5" name="PivotTable6"/>
  </pivotTables>
  <data>
    <tabular pivotCacheId="1754372496">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 xr10:uid="{83C8F5E4-7E51-4CBE-AD07-DFA59B35ED74}" cache="Slicer_Marriedarital_Singletatus" caption="Marriedarital Singletatus" rowHeight="234950"/>
  <slicer name="Education" xr10:uid="{1433433D-D59A-48E9-A65F-8A31016527F2}" cache="Slicer_Education" caption="Education" rowHeight="234950"/>
  <slicer name="Region" xr10:uid="{40FD65F3-4A79-4A0E-ADA8-378C82EDBB43}"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C39C-52ED-45E8-8F75-9F4BBE19E615}">
  <dimension ref="A1:N1001"/>
  <sheetViews>
    <sheetView workbookViewId="0">
      <selection activeCell="J13" sqref="J13"/>
    </sheetView>
  </sheetViews>
  <sheetFormatPr defaultColWidth="11.85546875" defaultRowHeight="15" x14ac:dyDescent="0.25"/>
  <cols>
    <col min="2" max="2" width="22.28515625" customWidth="1"/>
    <col min="4" max="4" width="12.5703125" style="3" bestFit="1" customWidth="1"/>
    <col min="10" max="10" width="17.5703125" customWidth="1"/>
    <col min="13" max="13" width="19.5703125" customWidth="1"/>
    <col min="14" max="14" width="15.42578125" customWidth="1"/>
  </cols>
  <sheetData>
    <row r="1" spans="1:14" x14ac:dyDescent="0.25">
      <c r="A1" t="s">
        <v>0</v>
      </c>
      <c r="B1" t="s">
        <v>38</v>
      </c>
      <c r="C1" t="s">
        <v>2</v>
      </c>
      <c r="D1" s="3" t="s">
        <v>3</v>
      </c>
      <c r="E1" t="s">
        <v>4</v>
      </c>
      <c r="F1" t="s">
        <v>5</v>
      </c>
      <c r="G1" t="s">
        <v>6</v>
      </c>
      <c r="H1" t="s">
        <v>7</v>
      </c>
      <c r="I1" t="s">
        <v>8</v>
      </c>
      <c r="J1" t="s">
        <v>9</v>
      </c>
      <c r="K1" t="s">
        <v>10</v>
      </c>
      <c r="L1" t="s">
        <v>11</v>
      </c>
      <c r="M1" t="s">
        <v>41</v>
      </c>
      <c r="N1" t="s">
        <v>12</v>
      </c>
    </row>
    <row r="2" spans="1:14" x14ac:dyDescent="0.25">
      <c r="A2">
        <v>12496</v>
      </c>
      <c r="B2" t="s">
        <v>36</v>
      </c>
      <c r="C2" t="s">
        <v>40</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40</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40</v>
      </c>
      <c r="D12" s="3">
        <v>30000</v>
      </c>
      <c r="E12">
        <v>3</v>
      </c>
      <c r="F12" t="s">
        <v>27</v>
      </c>
      <c r="G12" t="s">
        <v>14</v>
      </c>
      <c r="H12" t="s">
        <v>18</v>
      </c>
      <c r="I12">
        <v>2</v>
      </c>
      <c r="J12" t="s">
        <v>26</v>
      </c>
      <c r="K12" t="s">
        <v>24</v>
      </c>
      <c r="L12">
        <v>54</v>
      </c>
      <c r="M12" t="str">
        <f t="shared" si="0"/>
        <v>Old</v>
      </c>
      <c r="N12" t="s">
        <v>15</v>
      </c>
    </row>
    <row r="13" spans="1:14" x14ac:dyDescent="0.25">
      <c r="A13">
        <v>12697</v>
      </c>
      <c r="B13" t="s">
        <v>37</v>
      </c>
      <c r="C13" t="s">
        <v>40</v>
      </c>
      <c r="D13" s="3">
        <v>90000</v>
      </c>
      <c r="E13">
        <v>0</v>
      </c>
      <c r="F13" t="s">
        <v>13</v>
      </c>
      <c r="G13" t="s">
        <v>21</v>
      </c>
      <c r="H13" t="s">
        <v>18</v>
      </c>
      <c r="I13">
        <v>4</v>
      </c>
      <c r="J13" t="s">
        <v>47</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40</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40</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40</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40</v>
      </c>
      <c r="D23" s="3">
        <v>80000</v>
      </c>
      <c r="E23">
        <v>0</v>
      </c>
      <c r="F23" t="s">
        <v>13</v>
      </c>
      <c r="G23" t="s">
        <v>21</v>
      </c>
      <c r="H23" t="s">
        <v>15</v>
      </c>
      <c r="I23">
        <v>4</v>
      </c>
      <c r="J23" t="s">
        <v>47</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40</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40</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40</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40</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40</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40</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40</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40</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40</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40</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40</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40</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40</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40</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40</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40</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40</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40</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25">
      <c r="A54">
        <v>12558</v>
      </c>
      <c r="B54" t="s">
        <v>36</v>
      </c>
      <c r="C54" t="s">
        <v>40</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40</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40</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47</v>
      </c>
      <c r="K57" t="s">
        <v>17</v>
      </c>
      <c r="L57">
        <v>54</v>
      </c>
      <c r="M57" t="str">
        <f t="shared" si="0"/>
        <v>Old</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40</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40</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40</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25">
      <c r="A66">
        <v>14927</v>
      </c>
      <c r="B66" t="s">
        <v>36</v>
      </c>
      <c r="C66" t="s">
        <v>40</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40</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40</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40</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25">
      <c r="A73">
        <v>16200</v>
      </c>
      <c r="B73" t="s">
        <v>37</v>
      </c>
      <c r="C73" t="s">
        <v>40</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40</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40</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40</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40</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40</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40</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40</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40</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40</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40</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40</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40</v>
      </c>
      <c r="D97" s="3">
        <v>90000</v>
      </c>
      <c r="E97">
        <v>5</v>
      </c>
      <c r="F97" t="s">
        <v>19</v>
      </c>
      <c r="G97" t="s">
        <v>21</v>
      </c>
      <c r="H97" t="s">
        <v>15</v>
      </c>
      <c r="I97">
        <v>2</v>
      </c>
      <c r="J97" t="s">
        <v>47</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40</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40</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40</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40</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40</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40</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40</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40</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40</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40</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40</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40</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40</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40</v>
      </c>
      <c r="D124" s="3">
        <v>80000</v>
      </c>
      <c r="E124">
        <v>0</v>
      </c>
      <c r="F124" t="s">
        <v>13</v>
      </c>
      <c r="G124" t="s">
        <v>21</v>
      </c>
      <c r="H124" t="s">
        <v>18</v>
      </c>
      <c r="I124">
        <v>3</v>
      </c>
      <c r="J124" t="s">
        <v>47</v>
      </c>
      <c r="K124" t="s">
        <v>24</v>
      </c>
      <c r="L124">
        <v>31</v>
      </c>
      <c r="M124" t="str">
        <f t="shared" si="1"/>
        <v>Middle Age</v>
      </c>
      <c r="N124" t="s">
        <v>18</v>
      </c>
    </row>
    <row r="125" spans="1:14" x14ac:dyDescent="0.25">
      <c r="A125">
        <v>23627</v>
      </c>
      <c r="B125" t="s">
        <v>37</v>
      </c>
      <c r="C125" t="s">
        <v>40</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40</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40</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40</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40</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40</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40</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40</v>
      </c>
      <c r="D145" s="3">
        <v>80000</v>
      </c>
      <c r="E145">
        <v>0</v>
      </c>
      <c r="F145" t="s">
        <v>13</v>
      </c>
      <c r="G145" t="s">
        <v>21</v>
      </c>
      <c r="H145" t="s">
        <v>15</v>
      </c>
      <c r="I145">
        <v>3</v>
      </c>
      <c r="J145" t="s">
        <v>47</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40</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40</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40</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40</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40</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40</v>
      </c>
      <c r="D160" s="3">
        <v>20000</v>
      </c>
      <c r="E160">
        <v>2</v>
      </c>
      <c r="F160" t="s">
        <v>19</v>
      </c>
      <c r="G160" t="s">
        <v>25</v>
      </c>
      <c r="H160" t="s">
        <v>18</v>
      </c>
      <c r="I160">
        <v>1</v>
      </c>
      <c r="J160" t="s">
        <v>16</v>
      </c>
      <c r="K160" t="s">
        <v>17</v>
      </c>
      <c r="L160">
        <v>54</v>
      </c>
      <c r="M160" t="str">
        <f t="shared" si="2"/>
        <v>Old</v>
      </c>
      <c r="N160" t="s">
        <v>15</v>
      </c>
    </row>
    <row r="161" spans="1:14" x14ac:dyDescent="0.25">
      <c r="A161">
        <v>20797</v>
      </c>
      <c r="B161" t="s">
        <v>36</v>
      </c>
      <c r="C161" t="s">
        <v>40</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40</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40</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40</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40</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40</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40</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40</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40</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40</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40</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25">
      <c r="A181">
        <v>12212</v>
      </c>
      <c r="B181" t="s">
        <v>36</v>
      </c>
      <c r="C181" t="s">
        <v>40</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40</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40</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40</v>
      </c>
      <c r="D186" s="3">
        <v>130000</v>
      </c>
      <c r="E186">
        <v>4</v>
      </c>
      <c r="F186" t="s">
        <v>27</v>
      </c>
      <c r="G186" t="s">
        <v>28</v>
      </c>
      <c r="H186" t="s">
        <v>18</v>
      </c>
      <c r="I186">
        <v>4</v>
      </c>
      <c r="J186" t="s">
        <v>47</v>
      </c>
      <c r="K186" t="s">
        <v>17</v>
      </c>
      <c r="L186">
        <v>58</v>
      </c>
      <c r="M186" t="str">
        <f t="shared" si="2"/>
        <v>Old</v>
      </c>
      <c r="N186" t="s">
        <v>18</v>
      </c>
    </row>
    <row r="187" spans="1:14" x14ac:dyDescent="0.25">
      <c r="A187">
        <v>15799</v>
      </c>
      <c r="B187" t="s">
        <v>36</v>
      </c>
      <c r="C187" t="s">
        <v>40</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40</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25">
      <c r="A190">
        <v>20606</v>
      </c>
      <c r="B190" t="s">
        <v>36</v>
      </c>
      <c r="C190" t="s">
        <v>40</v>
      </c>
      <c r="D190" s="3">
        <v>70000</v>
      </c>
      <c r="E190">
        <v>0</v>
      </c>
      <c r="F190" t="s">
        <v>13</v>
      </c>
      <c r="G190" t="s">
        <v>21</v>
      </c>
      <c r="H190" t="s">
        <v>15</v>
      </c>
      <c r="I190">
        <v>4</v>
      </c>
      <c r="J190" t="s">
        <v>47</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40</v>
      </c>
      <c r="D194" s="3">
        <v>80000</v>
      </c>
      <c r="E194">
        <v>5</v>
      </c>
      <c r="F194" t="s">
        <v>13</v>
      </c>
      <c r="G194" t="s">
        <v>28</v>
      </c>
      <c r="H194" t="s">
        <v>15</v>
      </c>
      <c r="I194">
        <v>2</v>
      </c>
      <c r="J194" t="s">
        <v>47</v>
      </c>
      <c r="K194" t="s">
        <v>17</v>
      </c>
      <c r="L194">
        <v>62</v>
      </c>
      <c r="M194" t="str">
        <f t="shared" si="2"/>
        <v>Old</v>
      </c>
      <c r="N194" t="s">
        <v>18</v>
      </c>
    </row>
    <row r="195" spans="1:14" x14ac:dyDescent="0.25">
      <c r="A195">
        <v>26032</v>
      </c>
      <c r="B195" t="s">
        <v>36</v>
      </c>
      <c r="C195" t="s">
        <v>40</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25">
      <c r="A196">
        <v>17843</v>
      </c>
      <c r="B196" t="s">
        <v>37</v>
      </c>
      <c r="C196" t="s">
        <v>40</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40</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40</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40</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40</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25">
      <c r="A209">
        <v>28729</v>
      </c>
      <c r="B209" t="s">
        <v>37</v>
      </c>
      <c r="C209" t="s">
        <v>40</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40</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40</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40</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40</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40</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Old</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Old</v>
      </c>
      <c r="N218" t="s">
        <v>18</v>
      </c>
    </row>
    <row r="219" spans="1:14" x14ac:dyDescent="0.25">
      <c r="A219">
        <v>13673</v>
      </c>
      <c r="B219" t="s">
        <v>37</v>
      </c>
      <c r="C219" t="s">
        <v>40</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40</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40</v>
      </c>
      <c r="D225" s="3">
        <v>70000</v>
      </c>
      <c r="E225">
        <v>5</v>
      </c>
      <c r="F225" t="s">
        <v>13</v>
      </c>
      <c r="G225" t="s">
        <v>21</v>
      </c>
      <c r="H225" t="s">
        <v>15</v>
      </c>
      <c r="I225">
        <v>4</v>
      </c>
      <c r="J225" t="s">
        <v>47</v>
      </c>
      <c r="K225" t="s">
        <v>24</v>
      </c>
      <c r="L225">
        <v>39</v>
      </c>
      <c r="M225" t="str">
        <f t="shared" si="3"/>
        <v>Middle Age</v>
      </c>
      <c r="N225" t="s">
        <v>18</v>
      </c>
    </row>
    <row r="226" spans="1:14" x14ac:dyDescent="0.25">
      <c r="A226">
        <v>19650</v>
      </c>
      <c r="B226" t="s">
        <v>36</v>
      </c>
      <c r="C226" t="s">
        <v>40</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40</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40</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25">
      <c r="A233">
        <v>14777</v>
      </c>
      <c r="B233" t="s">
        <v>36</v>
      </c>
      <c r="C233" t="s">
        <v>40</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40</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25">
      <c r="A237">
        <v>11340</v>
      </c>
      <c r="B237" t="s">
        <v>36</v>
      </c>
      <c r="C237" t="s">
        <v>40</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40</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40</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40</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40</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40</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40</v>
      </c>
      <c r="D246" s="3">
        <v>120000</v>
      </c>
      <c r="E246">
        <v>3</v>
      </c>
      <c r="F246" t="s">
        <v>13</v>
      </c>
      <c r="G246" t="s">
        <v>28</v>
      </c>
      <c r="H246" t="s">
        <v>18</v>
      </c>
      <c r="I246">
        <v>2</v>
      </c>
      <c r="J246" t="s">
        <v>47</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40</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40</v>
      </c>
      <c r="D249" s="3">
        <v>100000</v>
      </c>
      <c r="E249">
        <v>0</v>
      </c>
      <c r="F249" t="s">
        <v>27</v>
      </c>
      <c r="G249" t="s">
        <v>28</v>
      </c>
      <c r="H249" t="s">
        <v>15</v>
      </c>
      <c r="I249">
        <v>4</v>
      </c>
      <c r="J249" t="s">
        <v>47</v>
      </c>
      <c r="K249" t="s">
        <v>24</v>
      </c>
      <c r="L249">
        <v>34</v>
      </c>
      <c r="M249" t="str">
        <f t="shared" si="3"/>
        <v>Middle Age</v>
      </c>
      <c r="N249" t="s">
        <v>15</v>
      </c>
    </row>
    <row r="250" spans="1:14" x14ac:dyDescent="0.25">
      <c r="A250">
        <v>13981</v>
      </c>
      <c r="B250" t="s">
        <v>36</v>
      </c>
      <c r="C250" t="s">
        <v>40</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40</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40</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40</v>
      </c>
      <c r="D260" s="3">
        <v>100000</v>
      </c>
      <c r="E260">
        <v>3</v>
      </c>
      <c r="F260" t="s">
        <v>19</v>
      </c>
      <c r="G260" t="s">
        <v>28</v>
      </c>
      <c r="H260" t="s">
        <v>15</v>
      </c>
      <c r="I260">
        <v>4</v>
      </c>
      <c r="J260" t="s">
        <v>47</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40</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40</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40</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40</v>
      </c>
      <c r="D265" s="3">
        <v>70000</v>
      </c>
      <c r="E265">
        <v>5</v>
      </c>
      <c r="F265" t="s">
        <v>13</v>
      </c>
      <c r="G265" t="s">
        <v>21</v>
      </c>
      <c r="H265" t="s">
        <v>15</v>
      </c>
      <c r="I265">
        <v>3</v>
      </c>
      <c r="J265" t="s">
        <v>47</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40</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40</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40</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40</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40</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40</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40</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40</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40</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40</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40</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40</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40</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40</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40</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Old</v>
      </c>
      <c r="N291" t="s">
        <v>15</v>
      </c>
    </row>
    <row r="292" spans="1:14" x14ac:dyDescent="0.25">
      <c r="A292">
        <v>28319</v>
      </c>
      <c r="B292" t="s">
        <v>37</v>
      </c>
      <c r="C292" t="s">
        <v>40</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40</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40</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40</v>
      </c>
      <c r="D297" s="3">
        <v>110000</v>
      </c>
      <c r="E297">
        <v>0</v>
      </c>
      <c r="F297" t="s">
        <v>19</v>
      </c>
      <c r="G297" t="s">
        <v>28</v>
      </c>
      <c r="H297" t="s">
        <v>15</v>
      </c>
      <c r="I297">
        <v>3</v>
      </c>
      <c r="J297" t="s">
        <v>47</v>
      </c>
      <c r="K297" t="s">
        <v>24</v>
      </c>
      <c r="L297">
        <v>32</v>
      </c>
      <c r="M297" t="str">
        <f t="shared" si="4"/>
        <v>Middle Age</v>
      </c>
      <c r="N297" t="s">
        <v>15</v>
      </c>
    </row>
    <row r="298" spans="1:14" x14ac:dyDescent="0.25">
      <c r="A298">
        <v>26663</v>
      </c>
      <c r="B298" t="s">
        <v>37</v>
      </c>
      <c r="C298" t="s">
        <v>40</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40</v>
      </c>
      <c r="D300" s="3">
        <v>90000</v>
      </c>
      <c r="E300">
        <v>4</v>
      </c>
      <c r="F300" t="s">
        <v>27</v>
      </c>
      <c r="G300" t="s">
        <v>21</v>
      </c>
      <c r="H300" t="s">
        <v>18</v>
      </c>
      <c r="I300">
        <v>2</v>
      </c>
      <c r="J300" t="s">
        <v>22</v>
      </c>
      <c r="K300" t="s">
        <v>17</v>
      </c>
      <c r="L300">
        <v>54</v>
      </c>
      <c r="M300" t="str">
        <f t="shared" si="4"/>
        <v>Old</v>
      </c>
      <c r="N300" t="s">
        <v>15</v>
      </c>
    </row>
    <row r="301" spans="1:14" x14ac:dyDescent="0.25">
      <c r="A301">
        <v>13136</v>
      </c>
      <c r="B301" t="s">
        <v>36</v>
      </c>
      <c r="C301" t="s">
        <v>40</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40</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40</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40</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40</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47</v>
      </c>
      <c r="K320" t="s">
        <v>17</v>
      </c>
      <c r="L320">
        <v>54</v>
      </c>
      <c r="M320" t="str">
        <f t="shared" si="4"/>
        <v>Old</v>
      </c>
      <c r="N320" t="s">
        <v>18</v>
      </c>
    </row>
    <row r="321" spans="1:14" x14ac:dyDescent="0.25">
      <c r="A321">
        <v>11386</v>
      </c>
      <c r="B321" t="s">
        <v>36</v>
      </c>
      <c r="C321" t="s">
        <v>40</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40</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40</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40</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40</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40</v>
      </c>
      <c r="D331" s="3">
        <v>90000</v>
      </c>
      <c r="E331">
        <v>5</v>
      </c>
      <c r="F331" t="s">
        <v>29</v>
      </c>
      <c r="G331" t="s">
        <v>14</v>
      </c>
      <c r="H331" t="s">
        <v>15</v>
      </c>
      <c r="I331">
        <v>2</v>
      </c>
      <c r="J331" t="s">
        <v>47</v>
      </c>
      <c r="K331" t="s">
        <v>17</v>
      </c>
      <c r="L331">
        <v>59</v>
      </c>
      <c r="M331" t="str">
        <f t="shared" si="5"/>
        <v>Old</v>
      </c>
      <c r="N331" t="s">
        <v>18</v>
      </c>
    </row>
    <row r="332" spans="1:14" x14ac:dyDescent="0.25">
      <c r="A332">
        <v>24898</v>
      </c>
      <c r="B332" t="s">
        <v>37</v>
      </c>
      <c r="C332" t="s">
        <v>40</v>
      </c>
      <c r="D332" s="3">
        <v>80000</v>
      </c>
      <c r="E332">
        <v>0</v>
      </c>
      <c r="F332" t="s">
        <v>13</v>
      </c>
      <c r="G332" t="s">
        <v>21</v>
      </c>
      <c r="H332" t="s">
        <v>15</v>
      </c>
      <c r="I332">
        <v>3</v>
      </c>
      <c r="J332" t="s">
        <v>47</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40</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40</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40</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40</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40</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40</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40</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40</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25">
      <c r="A358">
        <v>23608</v>
      </c>
      <c r="B358" t="s">
        <v>36</v>
      </c>
      <c r="C358" t="s">
        <v>40</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40</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40</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40</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40</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40</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40</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40</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40</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40</v>
      </c>
      <c r="D372" s="3">
        <v>100000</v>
      </c>
      <c r="E372">
        <v>4</v>
      </c>
      <c r="F372" t="s">
        <v>13</v>
      </c>
      <c r="G372" t="s">
        <v>21</v>
      </c>
      <c r="H372" t="s">
        <v>15</v>
      </c>
      <c r="I372">
        <v>1</v>
      </c>
      <c r="J372" t="s">
        <v>47</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40</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40</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25">
      <c r="A383">
        <v>22974</v>
      </c>
      <c r="B383" t="s">
        <v>36</v>
      </c>
      <c r="C383" t="s">
        <v>40</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40</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40</v>
      </c>
      <c r="D388" s="3">
        <v>120000</v>
      </c>
      <c r="E388">
        <v>0</v>
      </c>
      <c r="F388" t="s">
        <v>29</v>
      </c>
      <c r="G388" t="s">
        <v>21</v>
      </c>
      <c r="H388" t="s">
        <v>15</v>
      </c>
      <c r="I388">
        <v>4</v>
      </c>
      <c r="J388" t="s">
        <v>47</v>
      </c>
      <c r="K388" t="s">
        <v>24</v>
      </c>
      <c r="L388">
        <v>34</v>
      </c>
      <c r="M388" t="str">
        <f t="shared" si="6"/>
        <v>Middle Age</v>
      </c>
      <c r="N388" t="s">
        <v>15</v>
      </c>
    </row>
    <row r="389" spans="1:14" x14ac:dyDescent="0.25">
      <c r="A389">
        <v>13690</v>
      </c>
      <c r="B389" t="s">
        <v>37</v>
      </c>
      <c r="C389" t="s">
        <v>40</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40</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40</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40</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40</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40</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40</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40</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40</v>
      </c>
      <c r="D402" s="3">
        <v>110000</v>
      </c>
      <c r="E402">
        <v>3</v>
      </c>
      <c r="F402" t="s">
        <v>13</v>
      </c>
      <c r="G402" t="s">
        <v>28</v>
      </c>
      <c r="H402" t="s">
        <v>15</v>
      </c>
      <c r="I402">
        <v>4</v>
      </c>
      <c r="J402" t="s">
        <v>47</v>
      </c>
      <c r="K402" t="s">
        <v>17</v>
      </c>
      <c r="L402">
        <v>53</v>
      </c>
      <c r="M402" t="str">
        <f t="shared" si="6"/>
        <v>Middle Age</v>
      </c>
      <c r="N402" t="s">
        <v>18</v>
      </c>
    </row>
    <row r="403" spans="1:14" x14ac:dyDescent="0.25">
      <c r="A403">
        <v>11555</v>
      </c>
      <c r="B403" t="s">
        <v>36</v>
      </c>
      <c r="C403" t="s">
        <v>40</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Old</v>
      </c>
      <c r="N406" t="s">
        <v>15</v>
      </c>
    </row>
    <row r="407" spans="1:14" x14ac:dyDescent="0.25">
      <c r="A407">
        <v>22439</v>
      </c>
      <c r="B407" t="s">
        <v>36</v>
      </c>
      <c r="C407" t="s">
        <v>40</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40</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40</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40</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40</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40</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40</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40</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40</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40</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40</v>
      </c>
      <c r="D422" s="3">
        <v>100000</v>
      </c>
      <c r="E422">
        <v>2</v>
      </c>
      <c r="F422" t="s">
        <v>13</v>
      </c>
      <c r="G422" t="s">
        <v>28</v>
      </c>
      <c r="H422" t="s">
        <v>15</v>
      </c>
      <c r="I422">
        <v>4</v>
      </c>
      <c r="J422" t="s">
        <v>47</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40</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40</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40</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40</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40</v>
      </c>
      <c r="D434" s="3">
        <v>110000</v>
      </c>
      <c r="E434">
        <v>0</v>
      </c>
      <c r="F434" t="s">
        <v>27</v>
      </c>
      <c r="G434" t="s">
        <v>28</v>
      </c>
      <c r="H434" t="s">
        <v>15</v>
      </c>
      <c r="I434">
        <v>3</v>
      </c>
      <c r="J434" t="s">
        <v>47</v>
      </c>
      <c r="K434" t="s">
        <v>24</v>
      </c>
      <c r="L434">
        <v>34</v>
      </c>
      <c r="M434" t="str">
        <f t="shared" si="6"/>
        <v>Middle Age</v>
      </c>
      <c r="N434" t="s">
        <v>15</v>
      </c>
    </row>
    <row r="435" spans="1:14" x14ac:dyDescent="0.25">
      <c r="A435">
        <v>27814</v>
      </c>
      <c r="B435" t="s">
        <v>37</v>
      </c>
      <c r="C435" t="s">
        <v>40</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40</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40</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40</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40</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40</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40</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40</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40</v>
      </c>
      <c r="D448" s="3">
        <v>130000</v>
      </c>
      <c r="E448">
        <v>0</v>
      </c>
      <c r="F448" t="s">
        <v>31</v>
      </c>
      <c r="G448" t="s">
        <v>28</v>
      </c>
      <c r="H448" t="s">
        <v>15</v>
      </c>
      <c r="I448">
        <v>1</v>
      </c>
      <c r="J448" t="s">
        <v>47</v>
      </c>
      <c r="K448" t="s">
        <v>24</v>
      </c>
      <c r="L448">
        <v>48</v>
      </c>
      <c r="M448" t="str">
        <f t="shared" si="6"/>
        <v>Middle Age</v>
      </c>
      <c r="N448" t="s">
        <v>18</v>
      </c>
    </row>
    <row r="449" spans="1:14" x14ac:dyDescent="0.25">
      <c r="A449">
        <v>20711</v>
      </c>
      <c r="B449" t="s">
        <v>36</v>
      </c>
      <c r="C449" t="s">
        <v>40</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40</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40</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40</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40</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40</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40</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40</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40</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25">
      <c r="A461">
        <v>21554</v>
      </c>
      <c r="B461" t="s">
        <v>37</v>
      </c>
      <c r="C461" t="s">
        <v>40</v>
      </c>
      <c r="D461" s="3">
        <v>80000</v>
      </c>
      <c r="E461">
        <v>0</v>
      </c>
      <c r="F461" t="s">
        <v>13</v>
      </c>
      <c r="G461" t="s">
        <v>21</v>
      </c>
      <c r="H461" t="s">
        <v>18</v>
      </c>
      <c r="I461">
        <v>3</v>
      </c>
      <c r="J461" t="s">
        <v>47</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40</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40</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40</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40</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40</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40</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40</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40</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40</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40</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40</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40</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40</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40</v>
      </c>
      <c r="D488" s="3">
        <v>90000</v>
      </c>
      <c r="E488">
        <v>4</v>
      </c>
      <c r="F488" t="s">
        <v>29</v>
      </c>
      <c r="G488" t="s">
        <v>14</v>
      </c>
      <c r="H488" t="s">
        <v>15</v>
      </c>
      <c r="I488">
        <v>4</v>
      </c>
      <c r="J488" t="s">
        <v>47</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40</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40</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25">
      <c r="A498">
        <v>20678</v>
      </c>
      <c r="B498" t="s">
        <v>37</v>
      </c>
      <c r="C498" t="s">
        <v>40</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40</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40</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40</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40</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40</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40</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40</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40</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40</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40</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40</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40</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25">
      <c r="A528">
        <v>15382</v>
      </c>
      <c r="B528" t="s">
        <v>36</v>
      </c>
      <c r="C528" t="s">
        <v>40</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40</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40</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25">
      <c r="A538">
        <v>13907</v>
      </c>
      <c r="B538" t="s">
        <v>37</v>
      </c>
      <c r="C538" t="s">
        <v>40</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40</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40</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40</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40</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40</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40</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40</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40</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40</v>
      </c>
      <c r="D553" s="3">
        <v>50000</v>
      </c>
      <c r="E553">
        <v>4</v>
      </c>
      <c r="F553" t="s">
        <v>13</v>
      </c>
      <c r="G553" t="s">
        <v>28</v>
      </c>
      <c r="H553" t="s">
        <v>15</v>
      </c>
      <c r="I553">
        <v>2</v>
      </c>
      <c r="J553" t="s">
        <v>47</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47</v>
      </c>
      <c r="K554" t="s">
        <v>32</v>
      </c>
      <c r="L554">
        <v>54</v>
      </c>
      <c r="M554" t="str">
        <f t="shared" si="8"/>
        <v>Old</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40</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40</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40</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40</v>
      </c>
      <c r="D561" s="3">
        <v>60000</v>
      </c>
      <c r="E561">
        <v>2</v>
      </c>
      <c r="F561" t="s">
        <v>13</v>
      </c>
      <c r="G561" t="s">
        <v>28</v>
      </c>
      <c r="H561" t="s">
        <v>15</v>
      </c>
      <c r="I561">
        <v>0</v>
      </c>
      <c r="J561" t="s">
        <v>47</v>
      </c>
      <c r="K561" t="s">
        <v>32</v>
      </c>
      <c r="L561">
        <v>58</v>
      </c>
      <c r="M561" t="str">
        <f t="shared" si="8"/>
        <v>Old</v>
      </c>
      <c r="N561" t="s">
        <v>18</v>
      </c>
    </row>
    <row r="562" spans="1:14" x14ac:dyDescent="0.25">
      <c r="A562">
        <v>18577</v>
      </c>
      <c r="B562" t="s">
        <v>36</v>
      </c>
      <c r="C562" t="s">
        <v>40</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40</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40</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40</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Old</v>
      </c>
      <c r="N567" t="s">
        <v>15</v>
      </c>
    </row>
    <row r="568" spans="1:14" x14ac:dyDescent="0.25">
      <c r="A568">
        <v>18847</v>
      </c>
      <c r="B568" t="s">
        <v>36</v>
      </c>
      <c r="C568" t="s">
        <v>40</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40</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25">
      <c r="A578">
        <v>18752</v>
      </c>
      <c r="B578" t="s">
        <v>37</v>
      </c>
      <c r="C578" t="s">
        <v>40</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40</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40</v>
      </c>
      <c r="D582" s="3">
        <v>60000</v>
      </c>
      <c r="E582">
        <v>3</v>
      </c>
      <c r="F582" t="s">
        <v>31</v>
      </c>
      <c r="G582" t="s">
        <v>28</v>
      </c>
      <c r="H582" t="s">
        <v>15</v>
      </c>
      <c r="I582">
        <v>2</v>
      </c>
      <c r="J582" t="s">
        <v>47</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40</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40</v>
      </c>
      <c r="D590" s="3">
        <v>90000</v>
      </c>
      <c r="E590">
        <v>2</v>
      </c>
      <c r="F590" t="s">
        <v>27</v>
      </c>
      <c r="G590" t="s">
        <v>21</v>
      </c>
      <c r="H590" t="s">
        <v>15</v>
      </c>
      <c r="I590">
        <v>1</v>
      </c>
      <c r="J590" t="s">
        <v>47</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25">
      <c r="A592">
        <v>23158</v>
      </c>
      <c r="B592" t="s">
        <v>36</v>
      </c>
      <c r="C592" t="s">
        <v>40</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25">
      <c r="A594">
        <v>18391</v>
      </c>
      <c r="B594" t="s">
        <v>37</v>
      </c>
      <c r="C594" t="s">
        <v>40</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40</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40</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40</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40</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40</v>
      </c>
      <c r="D609" s="3">
        <v>70000</v>
      </c>
      <c r="E609">
        <v>5</v>
      </c>
      <c r="F609" t="s">
        <v>31</v>
      </c>
      <c r="G609" t="s">
        <v>21</v>
      </c>
      <c r="H609" t="s">
        <v>15</v>
      </c>
      <c r="I609">
        <v>3</v>
      </c>
      <c r="J609" t="s">
        <v>47</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40</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40</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40</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40</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40</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40</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40</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40</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40</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40</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40</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40</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40</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40</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40</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40</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40</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40</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25">
      <c r="A644">
        <v>21741</v>
      </c>
      <c r="B644" t="s">
        <v>36</v>
      </c>
      <c r="C644" t="s">
        <v>40</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40</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40</v>
      </c>
      <c r="D646" s="3">
        <v>60000</v>
      </c>
      <c r="E646">
        <v>5</v>
      </c>
      <c r="F646" t="s">
        <v>13</v>
      </c>
      <c r="G646" t="s">
        <v>14</v>
      </c>
      <c r="H646" t="s">
        <v>15</v>
      </c>
      <c r="I646">
        <v>3</v>
      </c>
      <c r="J646" t="s">
        <v>47</v>
      </c>
      <c r="K646" t="s">
        <v>32</v>
      </c>
      <c r="L646">
        <v>41</v>
      </c>
      <c r="M646" t="str">
        <f t="shared" si="10"/>
        <v>Middle Age</v>
      </c>
      <c r="N646" t="s">
        <v>18</v>
      </c>
    </row>
    <row r="647" spans="1:14" x14ac:dyDescent="0.25">
      <c r="A647">
        <v>16217</v>
      </c>
      <c r="B647" t="s">
        <v>37</v>
      </c>
      <c r="C647" t="s">
        <v>40</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40</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40</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40</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40</v>
      </c>
      <c r="D652" s="3">
        <v>70000</v>
      </c>
      <c r="E652">
        <v>5</v>
      </c>
      <c r="F652" t="s">
        <v>31</v>
      </c>
      <c r="G652" t="s">
        <v>28</v>
      </c>
      <c r="H652" t="s">
        <v>15</v>
      </c>
      <c r="I652">
        <v>2</v>
      </c>
      <c r="J652" t="s">
        <v>47</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40</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40</v>
      </c>
      <c r="D661" s="3">
        <v>60000</v>
      </c>
      <c r="E661">
        <v>4</v>
      </c>
      <c r="F661" t="s">
        <v>13</v>
      </c>
      <c r="G661" t="s">
        <v>28</v>
      </c>
      <c r="H661" t="s">
        <v>15</v>
      </c>
      <c r="I661">
        <v>2</v>
      </c>
      <c r="J661" t="s">
        <v>47</v>
      </c>
      <c r="K661" t="s">
        <v>32</v>
      </c>
      <c r="L661">
        <v>63</v>
      </c>
      <c r="M661" t="str">
        <f t="shared" si="10"/>
        <v>Old</v>
      </c>
      <c r="N661" t="s">
        <v>18</v>
      </c>
    </row>
    <row r="662" spans="1:14" x14ac:dyDescent="0.25">
      <c r="A662">
        <v>21599</v>
      </c>
      <c r="B662" t="s">
        <v>36</v>
      </c>
      <c r="C662" t="s">
        <v>40</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40</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40</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40</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40</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40</v>
      </c>
      <c r="D669" s="3">
        <v>40000</v>
      </c>
      <c r="E669">
        <v>5</v>
      </c>
      <c r="F669" t="s">
        <v>27</v>
      </c>
      <c r="G669" t="s">
        <v>21</v>
      </c>
      <c r="H669" t="s">
        <v>18</v>
      </c>
      <c r="I669">
        <v>2</v>
      </c>
      <c r="J669" t="s">
        <v>47</v>
      </c>
      <c r="K669" t="s">
        <v>32</v>
      </c>
      <c r="L669">
        <v>61</v>
      </c>
      <c r="M669" t="str">
        <f t="shared" si="10"/>
        <v>Old</v>
      </c>
      <c r="N669" t="s">
        <v>18</v>
      </c>
    </row>
    <row r="670" spans="1:14" x14ac:dyDescent="0.25">
      <c r="A670">
        <v>14592</v>
      </c>
      <c r="B670" t="s">
        <v>36</v>
      </c>
      <c r="C670" t="s">
        <v>40</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40</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25">
      <c r="A673">
        <v>22252</v>
      </c>
      <c r="B673" t="s">
        <v>37</v>
      </c>
      <c r="C673" t="s">
        <v>40</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40</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40</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40</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25">
      <c r="A682">
        <v>11165</v>
      </c>
      <c r="B682" t="s">
        <v>36</v>
      </c>
      <c r="C682" t="s">
        <v>40</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40</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40</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40</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40</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40</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40</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40</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40</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40</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40</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40</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40</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40</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25">
      <c r="A708">
        <v>20296</v>
      </c>
      <c r="B708" t="s">
        <v>37</v>
      </c>
      <c r="C708" t="s">
        <v>40</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40</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25">
      <c r="A711">
        <v>23712</v>
      </c>
      <c r="B711" t="s">
        <v>37</v>
      </c>
      <c r="C711" t="s">
        <v>40</v>
      </c>
      <c r="D711" s="3">
        <v>70000</v>
      </c>
      <c r="E711">
        <v>2</v>
      </c>
      <c r="F711" t="s">
        <v>13</v>
      </c>
      <c r="G711" t="s">
        <v>28</v>
      </c>
      <c r="H711" t="s">
        <v>15</v>
      </c>
      <c r="I711">
        <v>1</v>
      </c>
      <c r="J711" t="s">
        <v>47</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40</v>
      </c>
      <c r="D713" s="3">
        <v>70000</v>
      </c>
      <c r="E713">
        <v>2</v>
      </c>
      <c r="F713" t="s">
        <v>19</v>
      </c>
      <c r="G713" t="s">
        <v>21</v>
      </c>
      <c r="H713" t="s">
        <v>15</v>
      </c>
      <c r="I713">
        <v>1</v>
      </c>
      <c r="J713" t="s">
        <v>47</v>
      </c>
      <c r="K713" t="s">
        <v>32</v>
      </c>
      <c r="L713">
        <v>58</v>
      </c>
      <c r="M713" t="str">
        <f t="shared" si="11"/>
        <v>Old</v>
      </c>
      <c r="N713" t="s">
        <v>18</v>
      </c>
    </row>
    <row r="714" spans="1:14" x14ac:dyDescent="0.25">
      <c r="A714">
        <v>28026</v>
      </c>
      <c r="B714" t="s">
        <v>36</v>
      </c>
      <c r="C714" t="s">
        <v>40</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40</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40</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40</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40</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40</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40</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40</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40</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40</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40</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40</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40</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40</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40</v>
      </c>
      <c r="D741" s="3">
        <v>60000</v>
      </c>
      <c r="E741">
        <v>2</v>
      </c>
      <c r="F741" t="s">
        <v>19</v>
      </c>
      <c r="G741" t="s">
        <v>21</v>
      </c>
      <c r="H741" t="s">
        <v>15</v>
      </c>
      <c r="I741">
        <v>1</v>
      </c>
      <c r="J741" t="s">
        <v>47</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40</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40</v>
      </c>
      <c r="D746" s="3">
        <v>70000</v>
      </c>
      <c r="E746">
        <v>4</v>
      </c>
      <c r="F746" t="s">
        <v>19</v>
      </c>
      <c r="G746" t="s">
        <v>21</v>
      </c>
      <c r="H746" t="s">
        <v>15</v>
      </c>
      <c r="I746">
        <v>1</v>
      </c>
      <c r="J746" t="s">
        <v>47</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40</v>
      </c>
      <c r="D748" s="3">
        <v>60000</v>
      </c>
      <c r="E748">
        <v>2</v>
      </c>
      <c r="F748" t="s">
        <v>13</v>
      </c>
      <c r="G748" t="s">
        <v>28</v>
      </c>
      <c r="H748" t="s">
        <v>15</v>
      </c>
      <c r="I748">
        <v>0</v>
      </c>
      <c r="J748" t="s">
        <v>47</v>
      </c>
      <c r="K748" t="s">
        <v>32</v>
      </c>
      <c r="L748">
        <v>56</v>
      </c>
      <c r="M748" t="str">
        <f t="shared" si="11"/>
        <v>Old</v>
      </c>
      <c r="N748" t="s">
        <v>18</v>
      </c>
    </row>
    <row r="749" spans="1:14" x14ac:dyDescent="0.25">
      <c r="A749">
        <v>12957</v>
      </c>
      <c r="B749" t="s">
        <v>37</v>
      </c>
      <c r="C749" t="s">
        <v>40</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40</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40</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40</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40</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40</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40</v>
      </c>
      <c r="D763" s="3">
        <v>60000</v>
      </c>
      <c r="E763">
        <v>5</v>
      </c>
      <c r="F763" t="s">
        <v>13</v>
      </c>
      <c r="G763" t="s">
        <v>28</v>
      </c>
      <c r="H763" t="s">
        <v>15</v>
      </c>
      <c r="I763">
        <v>3</v>
      </c>
      <c r="J763" t="s">
        <v>47</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40</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40</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25">
      <c r="A769">
        <v>24979</v>
      </c>
      <c r="B769" t="s">
        <v>36</v>
      </c>
      <c r="C769" t="s">
        <v>40</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40</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40</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40</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40</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47</v>
      </c>
      <c r="K777" t="s">
        <v>32</v>
      </c>
      <c r="L777">
        <v>54</v>
      </c>
      <c r="M777" t="str">
        <f t="shared" si="12"/>
        <v>Old</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40</v>
      </c>
      <c r="D782" s="3">
        <v>60000</v>
      </c>
      <c r="E782">
        <v>2</v>
      </c>
      <c r="F782" t="s">
        <v>19</v>
      </c>
      <c r="G782" t="s">
        <v>21</v>
      </c>
      <c r="H782" t="s">
        <v>15</v>
      </c>
      <c r="I782">
        <v>1</v>
      </c>
      <c r="J782" t="s">
        <v>47</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40</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40</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40</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40</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40</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40</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40</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40</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40</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40</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40</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40</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40</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40</v>
      </c>
      <c r="D814" s="3">
        <v>70000</v>
      </c>
      <c r="E814">
        <v>4</v>
      </c>
      <c r="F814" t="s">
        <v>13</v>
      </c>
      <c r="G814" t="s">
        <v>28</v>
      </c>
      <c r="H814" t="s">
        <v>15</v>
      </c>
      <c r="I814">
        <v>2</v>
      </c>
      <c r="J814" t="s">
        <v>47</v>
      </c>
      <c r="K814" t="s">
        <v>32</v>
      </c>
      <c r="L814">
        <v>61</v>
      </c>
      <c r="M814" t="str">
        <f t="shared" si="12"/>
        <v>Old</v>
      </c>
      <c r="N814" t="s">
        <v>18</v>
      </c>
    </row>
    <row r="815" spans="1:14" x14ac:dyDescent="0.25">
      <c r="A815">
        <v>25899</v>
      </c>
      <c r="B815" t="s">
        <v>36</v>
      </c>
      <c r="C815" t="s">
        <v>40</v>
      </c>
      <c r="D815" s="3">
        <v>70000</v>
      </c>
      <c r="E815">
        <v>2</v>
      </c>
      <c r="F815" t="s">
        <v>27</v>
      </c>
      <c r="G815" t="s">
        <v>21</v>
      </c>
      <c r="H815" t="s">
        <v>15</v>
      </c>
      <c r="I815">
        <v>2</v>
      </c>
      <c r="J815" t="s">
        <v>47</v>
      </c>
      <c r="K815" t="s">
        <v>32</v>
      </c>
      <c r="L815">
        <v>53</v>
      </c>
      <c r="M815" t="str">
        <f t="shared" si="12"/>
        <v>Middle Age</v>
      </c>
      <c r="N815" t="s">
        <v>18</v>
      </c>
    </row>
    <row r="816" spans="1:14" x14ac:dyDescent="0.25">
      <c r="A816">
        <v>13351</v>
      </c>
      <c r="B816" t="s">
        <v>37</v>
      </c>
      <c r="C816" t="s">
        <v>40</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40</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40</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40</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40</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40</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40</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40</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40</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40</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40</v>
      </c>
      <c r="D836" s="3">
        <v>70000</v>
      </c>
      <c r="E836">
        <v>2</v>
      </c>
      <c r="F836" t="s">
        <v>29</v>
      </c>
      <c r="G836" t="s">
        <v>14</v>
      </c>
      <c r="H836" t="s">
        <v>18</v>
      </c>
      <c r="I836">
        <v>2</v>
      </c>
      <c r="J836" t="s">
        <v>22</v>
      </c>
      <c r="K836" t="s">
        <v>32</v>
      </c>
      <c r="L836">
        <v>54</v>
      </c>
      <c r="M836" t="str">
        <f t="shared" si="13"/>
        <v>Old</v>
      </c>
      <c r="N836" t="s">
        <v>15</v>
      </c>
    </row>
    <row r="837" spans="1:14" x14ac:dyDescent="0.25">
      <c r="A837">
        <v>12922</v>
      </c>
      <c r="B837" t="s">
        <v>37</v>
      </c>
      <c r="C837" t="s">
        <v>40</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40</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40</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40</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40</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40</v>
      </c>
      <c r="D846" s="3">
        <v>40000</v>
      </c>
      <c r="E846">
        <v>5</v>
      </c>
      <c r="F846" t="s">
        <v>27</v>
      </c>
      <c r="G846" t="s">
        <v>21</v>
      </c>
      <c r="H846" t="s">
        <v>15</v>
      </c>
      <c r="I846">
        <v>2</v>
      </c>
      <c r="J846" t="s">
        <v>47</v>
      </c>
      <c r="K846" t="s">
        <v>32</v>
      </c>
      <c r="L846">
        <v>60</v>
      </c>
      <c r="M846" t="str">
        <f t="shared" si="13"/>
        <v>Old</v>
      </c>
      <c r="N846" t="s">
        <v>18</v>
      </c>
    </row>
    <row r="847" spans="1:14" x14ac:dyDescent="0.25">
      <c r="A847">
        <v>25343</v>
      </c>
      <c r="B847" t="s">
        <v>37</v>
      </c>
      <c r="C847" t="s">
        <v>40</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40</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40</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40</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40</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40</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40</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40</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40</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40</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25">
      <c r="A871">
        <v>26065</v>
      </c>
      <c r="B871" t="s">
        <v>37</v>
      </c>
      <c r="C871" t="s">
        <v>40</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25">
      <c r="A874">
        <v>22118</v>
      </c>
      <c r="B874" t="s">
        <v>37</v>
      </c>
      <c r="C874" t="s">
        <v>40</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40</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40</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40</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40</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40</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40</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40</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40</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40</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40</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40</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25">
      <c r="A901">
        <v>28192</v>
      </c>
      <c r="B901" t="s">
        <v>36</v>
      </c>
      <c r="C901" t="s">
        <v>40</v>
      </c>
      <c r="D901" s="3">
        <v>70000</v>
      </c>
      <c r="E901">
        <v>5</v>
      </c>
      <c r="F901" t="s">
        <v>31</v>
      </c>
      <c r="G901" t="s">
        <v>21</v>
      </c>
      <c r="H901" t="s">
        <v>15</v>
      </c>
      <c r="I901">
        <v>3</v>
      </c>
      <c r="J901" t="s">
        <v>47</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40</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40</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40</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40</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40</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40</v>
      </c>
      <c r="D921" s="3">
        <v>40000</v>
      </c>
      <c r="E921">
        <v>4</v>
      </c>
      <c r="F921" t="s">
        <v>27</v>
      </c>
      <c r="G921" t="s">
        <v>21</v>
      </c>
      <c r="H921" t="s">
        <v>15</v>
      </c>
      <c r="I921">
        <v>2</v>
      </c>
      <c r="J921" t="s">
        <v>47</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40</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40</v>
      </c>
      <c r="D924" s="3">
        <v>40000</v>
      </c>
      <c r="E924">
        <v>3</v>
      </c>
      <c r="F924" t="s">
        <v>19</v>
      </c>
      <c r="G924" t="s">
        <v>21</v>
      </c>
      <c r="H924" t="s">
        <v>18</v>
      </c>
      <c r="I924">
        <v>2</v>
      </c>
      <c r="J924" t="s">
        <v>26</v>
      </c>
      <c r="K924" t="s">
        <v>32</v>
      </c>
      <c r="L924">
        <v>54</v>
      </c>
      <c r="M924" t="str">
        <f t="shared" si="14"/>
        <v>Old</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40</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40</v>
      </c>
      <c r="D928" s="3">
        <v>40000</v>
      </c>
      <c r="E928">
        <v>2</v>
      </c>
      <c r="F928" t="s">
        <v>27</v>
      </c>
      <c r="G928" t="s">
        <v>21</v>
      </c>
      <c r="H928" t="s">
        <v>15</v>
      </c>
      <c r="I928">
        <v>2</v>
      </c>
      <c r="J928" t="s">
        <v>47</v>
      </c>
      <c r="K928" t="s">
        <v>32</v>
      </c>
      <c r="L928">
        <v>57</v>
      </c>
      <c r="M928" t="str">
        <f t="shared" si="14"/>
        <v>Old</v>
      </c>
      <c r="N928" t="s">
        <v>18</v>
      </c>
    </row>
    <row r="929" spans="1:14" x14ac:dyDescent="0.25">
      <c r="A929">
        <v>11823</v>
      </c>
      <c r="B929" t="s">
        <v>36</v>
      </c>
      <c r="C929" t="s">
        <v>40</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25">
      <c r="A933">
        <v>14914</v>
      </c>
      <c r="B933" t="s">
        <v>36</v>
      </c>
      <c r="C933" t="s">
        <v>40</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40</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40</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40</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40</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40</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40</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40</v>
      </c>
      <c r="D944" s="3">
        <v>40000</v>
      </c>
      <c r="E944">
        <v>3</v>
      </c>
      <c r="F944" t="s">
        <v>19</v>
      </c>
      <c r="G944" t="s">
        <v>21</v>
      </c>
      <c r="H944" t="s">
        <v>15</v>
      </c>
      <c r="I944">
        <v>2</v>
      </c>
      <c r="J944" t="s">
        <v>23</v>
      </c>
      <c r="K944" t="s">
        <v>32</v>
      </c>
      <c r="L944">
        <v>54</v>
      </c>
      <c r="M944" t="str">
        <f t="shared" si="14"/>
        <v>Old</v>
      </c>
      <c r="N944" t="s">
        <v>18</v>
      </c>
    </row>
    <row r="945" spans="1:14" x14ac:dyDescent="0.25">
      <c r="A945">
        <v>24322</v>
      </c>
      <c r="B945" t="s">
        <v>36</v>
      </c>
      <c r="C945" t="s">
        <v>40</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40</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40</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40</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40</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25">
      <c r="A952">
        <v>11788</v>
      </c>
      <c r="B952" t="s">
        <v>37</v>
      </c>
      <c r="C952" t="s">
        <v>40</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40</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40</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40</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40</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40</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40</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25">
      <c r="A965">
        <v>16007</v>
      </c>
      <c r="B965" t="s">
        <v>36</v>
      </c>
      <c r="C965" t="s">
        <v>40</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25">
      <c r="A967">
        <v>27756</v>
      </c>
      <c r="B967" t="s">
        <v>37</v>
      </c>
      <c r="C967" t="s">
        <v>40</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40</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40</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40</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40</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40</v>
      </c>
      <c r="D978" s="3">
        <v>60000</v>
      </c>
      <c r="E978">
        <v>3</v>
      </c>
      <c r="F978" t="s">
        <v>13</v>
      </c>
      <c r="G978" t="s">
        <v>28</v>
      </c>
      <c r="H978" t="s">
        <v>15</v>
      </c>
      <c r="I978">
        <v>2</v>
      </c>
      <c r="J978" t="s">
        <v>47</v>
      </c>
      <c r="K978" t="s">
        <v>32</v>
      </c>
      <c r="L978">
        <v>66</v>
      </c>
      <c r="M978" t="str">
        <f t="shared" si="15"/>
        <v>Old</v>
      </c>
      <c r="N978" t="s">
        <v>18</v>
      </c>
    </row>
    <row r="979" spans="1:14" x14ac:dyDescent="0.25">
      <c r="A979">
        <v>19741</v>
      </c>
      <c r="B979" t="s">
        <v>37</v>
      </c>
      <c r="C979" t="s">
        <v>40</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40</v>
      </c>
      <c r="D982" s="3">
        <v>80000</v>
      </c>
      <c r="E982">
        <v>3</v>
      </c>
      <c r="F982" t="s">
        <v>13</v>
      </c>
      <c r="G982" t="s">
        <v>14</v>
      </c>
      <c r="H982" t="s">
        <v>15</v>
      </c>
      <c r="I982">
        <v>3</v>
      </c>
      <c r="J982" t="s">
        <v>47</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40</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25">
      <c r="A989">
        <v>28972</v>
      </c>
      <c r="B989" t="s">
        <v>37</v>
      </c>
      <c r="C989" t="s">
        <v>40</v>
      </c>
      <c r="D989" s="3">
        <v>60000</v>
      </c>
      <c r="E989">
        <v>3</v>
      </c>
      <c r="F989" t="s">
        <v>31</v>
      </c>
      <c r="G989" t="s">
        <v>28</v>
      </c>
      <c r="H989" t="s">
        <v>15</v>
      </c>
      <c r="I989">
        <v>2</v>
      </c>
      <c r="J989" t="s">
        <v>47</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25">
      <c r="A992">
        <v>14332</v>
      </c>
      <c r="B992" t="s">
        <v>37</v>
      </c>
      <c r="C992" t="s">
        <v>40</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40</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Old</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FC3CE-1B55-43F8-A1D0-42B18D40C723}">
  <dimension ref="A5:D117"/>
  <sheetViews>
    <sheetView tabSelected="1" topLeftCell="A31" zoomScale="89" zoomScaleNormal="89" workbookViewId="0">
      <selection activeCell="B70" sqref="B70"/>
    </sheetView>
  </sheetViews>
  <sheetFormatPr defaultRowHeight="15" x14ac:dyDescent="0.25"/>
  <cols>
    <col min="1" max="1" width="22.85546875" bestFit="1" customWidth="1"/>
    <col min="2" max="2" width="16.28515625" bestFit="1" customWidth="1"/>
    <col min="3" max="3" width="4.42578125" bestFit="1" customWidth="1"/>
    <col min="4" max="4" width="11.28515625" bestFit="1" customWidth="1"/>
  </cols>
  <sheetData>
    <row r="5" spans="1:4" x14ac:dyDescent="0.25">
      <c r="A5" s="4" t="s">
        <v>44</v>
      </c>
      <c r="B5" s="4" t="s">
        <v>45</v>
      </c>
    </row>
    <row r="6" spans="1:4" x14ac:dyDescent="0.25">
      <c r="A6" s="4" t="s">
        <v>42</v>
      </c>
      <c r="B6" t="s">
        <v>18</v>
      </c>
      <c r="C6" t="s">
        <v>15</v>
      </c>
      <c r="D6" t="s">
        <v>43</v>
      </c>
    </row>
    <row r="7" spans="1:4" x14ac:dyDescent="0.25">
      <c r="A7" s="5" t="s">
        <v>40</v>
      </c>
      <c r="B7" s="6">
        <v>71111.111111111109</v>
      </c>
      <c r="C7" s="6">
        <v>76875</v>
      </c>
      <c r="D7" s="6">
        <v>73823.529411764699</v>
      </c>
    </row>
    <row r="8" spans="1:4" x14ac:dyDescent="0.25">
      <c r="A8" s="5" t="s">
        <v>39</v>
      </c>
      <c r="B8" s="6">
        <v>66774.193548387091</v>
      </c>
      <c r="C8" s="6">
        <v>61250</v>
      </c>
      <c r="D8" s="6">
        <v>65641.025641025641</v>
      </c>
    </row>
    <row r="9" spans="1:4" x14ac:dyDescent="0.25">
      <c r="A9" s="5" t="s">
        <v>43</v>
      </c>
      <c r="B9" s="6">
        <v>68367.346938775503</v>
      </c>
      <c r="C9" s="6">
        <v>71666.666666666672</v>
      </c>
      <c r="D9" s="6">
        <v>69452.054794520547</v>
      </c>
    </row>
    <row r="25" spans="1:4" x14ac:dyDescent="0.25">
      <c r="A25" s="4" t="s">
        <v>46</v>
      </c>
      <c r="B25" s="4" t="s">
        <v>45</v>
      </c>
    </row>
    <row r="26" spans="1:4" x14ac:dyDescent="0.25">
      <c r="A26" s="4" t="s">
        <v>42</v>
      </c>
      <c r="B26" t="s">
        <v>18</v>
      </c>
      <c r="C26" t="s">
        <v>15</v>
      </c>
      <c r="D26" t="s">
        <v>43</v>
      </c>
    </row>
    <row r="27" spans="1:4" x14ac:dyDescent="0.25">
      <c r="A27" s="5" t="s">
        <v>16</v>
      </c>
      <c r="B27" s="12">
        <v>47</v>
      </c>
      <c r="C27" s="12">
        <v>30</v>
      </c>
      <c r="D27" s="12">
        <v>77</v>
      </c>
    </row>
    <row r="28" spans="1:4" x14ac:dyDescent="0.25">
      <c r="A28" s="5" t="s">
        <v>26</v>
      </c>
      <c r="B28" s="12">
        <v>38</v>
      </c>
      <c r="C28" s="12">
        <v>23</v>
      </c>
      <c r="D28" s="12">
        <v>61</v>
      </c>
    </row>
    <row r="29" spans="1:4" x14ac:dyDescent="0.25">
      <c r="A29" s="5" t="s">
        <v>22</v>
      </c>
      <c r="B29" s="12">
        <v>25</v>
      </c>
      <c r="C29" s="12">
        <v>34</v>
      </c>
      <c r="D29" s="12">
        <v>59</v>
      </c>
    </row>
    <row r="30" spans="1:4" x14ac:dyDescent="0.25">
      <c r="A30" s="5" t="s">
        <v>23</v>
      </c>
      <c r="B30" s="12">
        <v>43</v>
      </c>
      <c r="C30" s="12">
        <v>17</v>
      </c>
      <c r="D30" s="12">
        <v>60</v>
      </c>
    </row>
    <row r="31" spans="1:4" x14ac:dyDescent="0.25">
      <c r="A31" s="5" t="s">
        <v>47</v>
      </c>
      <c r="B31" s="12">
        <v>37</v>
      </c>
      <c r="C31" s="12">
        <v>3</v>
      </c>
      <c r="D31" s="12">
        <v>40</v>
      </c>
    </row>
    <row r="32" spans="1:4" x14ac:dyDescent="0.25">
      <c r="A32" s="5" t="s">
        <v>43</v>
      </c>
      <c r="B32" s="12">
        <v>190</v>
      </c>
      <c r="C32" s="12">
        <v>107</v>
      </c>
      <c r="D32" s="12">
        <v>297</v>
      </c>
    </row>
    <row r="47" spans="1:4" x14ac:dyDescent="0.25">
      <c r="A47" s="4" t="s">
        <v>46</v>
      </c>
      <c r="B47" s="4" t="s">
        <v>45</v>
      </c>
    </row>
    <row r="48" spans="1:4" x14ac:dyDescent="0.25">
      <c r="A48" s="4" t="s">
        <v>42</v>
      </c>
      <c r="B48" t="s">
        <v>18</v>
      </c>
      <c r="C48" t="s">
        <v>15</v>
      </c>
      <c r="D48" t="s">
        <v>43</v>
      </c>
    </row>
    <row r="49" spans="1:4" x14ac:dyDescent="0.25">
      <c r="A49" s="5" t="s">
        <v>48</v>
      </c>
      <c r="B49" s="12">
        <v>19</v>
      </c>
      <c r="C49" s="12">
        <v>5</v>
      </c>
      <c r="D49" s="12">
        <v>24</v>
      </c>
    </row>
    <row r="50" spans="1:4" x14ac:dyDescent="0.25">
      <c r="A50" s="5" t="s">
        <v>49</v>
      </c>
      <c r="B50" s="12">
        <v>110</v>
      </c>
      <c r="C50" s="12">
        <v>86</v>
      </c>
      <c r="D50" s="12">
        <v>196</v>
      </c>
    </row>
    <row r="51" spans="1:4" x14ac:dyDescent="0.25">
      <c r="A51" s="5" t="s">
        <v>50</v>
      </c>
      <c r="B51" s="12">
        <v>61</v>
      </c>
      <c r="C51" s="12">
        <v>16</v>
      </c>
      <c r="D51" s="12">
        <v>77</v>
      </c>
    </row>
    <row r="52" spans="1:4" x14ac:dyDescent="0.25">
      <c r="A52" s="5" t="s">
        <v>43</v>
      </c>
      <c r="B52" s="12">
        <v>190</v>
      </c>
      <c r="C52" s="12">
        <v>107</v>
      </c>
      <c r="D52" s="12">
        <v>297</v>
      </c>
    </row>
    <row r="67" spans="1:4" x14ac:dyDescent="0.25">
      <c r="A67" s="4" t="s">
        <v>46</v>
      </c>
      <c r="B67" s="4" t="s">
        <v>45</v>
      </c>
    </row>
    <row r="68" spans="1:4" x14ac:dyDescent="0.25">
      <c r="A68" s="4" t="s">
        <v>42</v>
      </c>
      <c r="B68" t="s">
        <v>18</v>
      </c>
      <c r="C68" t="s">
        <v>15</v>
      </c>
      <c r="D68" t="s">
        <v>43</v>
      </c>
    </row>
    <row r="69" spans="1:4" x14ac:dyDescent="0.25">
      <c r="A69" s="5">
        <v>26</v>
      </c>
      <c r="B69" s="12">
        <v>1</v>
      </c>
      <c r="C69" s="12"/>
      <c r="D69" s="12">
        <v>1</v>
      </c>
    </row>
    <row r="70" spans="1:4" x14ac:dyDescent="0.25">
      <c r="A70" s="5">
        <v>27</v>
      </c>
      <c r="B70" s="12">
        <v>5</v>
      </c>
      <c r="C70" s="12">
        <v>2</v>
      </c>
      <c r="D70" s="12">
        <v>7</v>
      </c>
    </row>
    <row r="71" spans="1:4" x14ac:dyDescent="0.25">
      <c r="A71" s="5">
        <v>28</v>
      </c>
      <c r="B71" s="12">
        <v>4</v>
      </c>
      <c r="C71" s="12">
        <v>3</v>
      </c>
      <c r="D71" s="12">
        <v>7</v>
      </c>
    </row>
    <row r="72" spans="1:4" x14ac:dyDescent="0.25">
      <c r="A72" s="5">
        <v>29</v>
      </c>
      <c r="B72" s="12">
        <v>4</v>
      </c>
      <c r="C72" s="12"/>
      <c r="D72" s="12">
        <v>4</v>
      </c>
    </row>
    <row r="73" spans="1:4" x14ac:dyDescent="0.25">
      <c r="A73" s="5">
        <v>30</v>
      </c>
      <c r="B73" s="12">
        <v>5</v>
      </c>
      <c r="C73" s="12"/>
      <c r="D73" s="12">
        <v>5</v>
      </c>
    </row>
    <row r="74" spans="1:4" x14ac:dyDescent="0.25">
      <c r="A74" s="5">
        <v>31</v>
      </c>
      <c r="B74" s="12">
        <v>5</v>
      </c>
      <c r="C74" s="12"/>
      <c r="D74" s="12">
        <v>5</v>
      </c>
    </row>
    <row r="75" spans="1:4" x14ac:dyDescent="0.25">
      <c r="A75" s="5">
        <v>32</v>
      </c>
      <c r="B75" s="12">
        <v>6</v>
      </c>
      <c r="C75" s="12">
        <v>3</v>
      </c>
      <c r="D75" s="12">
        <v>9</v>
      </c>
    </row>
    <row r="76" spans="1:4" x14ac:dyDescent="0.25">
      <c r="A76" s="5">
        <v>33</v>
      </c>
      <c r="B76" s="12">
        <v>2</v>
      </c>
      <c r="C76" s="12">
        <v>3</v>
      </c>
      <c r="D76" s="12">
        <v>5</v>
      </c>
    </row>
    <row r="77" spans="1:4" x14ac:dyDescent="0.25">
      <c r="A77" s="5">
        <v>34</v>
      </c>
      <c r="B77" s="12">
        <v>4</v>
      </c>
      <c r="C77" s="12">
        <v>9</v>
      </c>
      <c r="D77" s="12">
        <v>13</v>
      </c>
    </row>
    <row r="78" spans="1:4" x14ac:dyDescent="0.25">
      <c r="A78" s="5">
        <v>35</v>
      </c>
      <c r="B78" s="12">
        <v>3</v>
      </c>
      <c r="C78" s="12">
        <v>7</v>
      </c>
      <c r="D78" s="12">
        <v>10</v>
      </c>
    </row>
    <row r="79" spans="1:4" x14ac:dyDescent="0.25">
      <c r="A79" s="5">
        <v>36</v>
      </c>
      <c r="B79" s="12">
        <v>2</v>
      </c>
      <c r="C79" s="12">
        <v>6</v>
      </c>
      <c r="D79" s="12">
        <v>8</v>
      </c>
    </row>
    <row r="80" spans="1:4" x14ac:dyDescent="0.25">
      <c r="A80" s="5">
        <v>37</v>
      </c>
      <c r="B80" s="12">
        <v>1</v>
      </c>
      <c r="C80" s="12">
        <v>2</v>
      </c>
      <c r="D80" s="12">
        <v>3</v>
      </c>
    </row>
    <row r="81" spans="1:4" x14ac:dyDescent="0.25">
      <c r="A81" s="5">
        <v>38</v>
      </c>
      <c r="B81" s="12">
        <v>2</v>
      </c>
      <c r="C81" s="12">
        <v>2</v>
      </c>
      <c r="D81" s="12">
        <v>4</v>
      </c>
    </row>
    <row r="82" spans="1:4" x14ac:dyDescent="0.25">
      <c r="A82" s="5">
        <v>39</v>
      </c>
      <c r="B82" s="12">
        <v>3</v>
      </c>
      <c r="C82" s="12">
        <v>1</v>
      </c>
      <c r="D82" s="12">
        <v>4</v>
      </c>
    </row>
    <row r="83" spans="1:4" x14ac:dyDescent="0.25">
      <c r="A83" s="5">
        <v>40</v>
      </c>
      <c r="B83" s="12">
        <v>8</v>
      </c>
      <c r="C83" s="12">
        <v>2</v>
      </c>
      <c r="D83" s="12">
        <v>10</v>
      </c>
    </row>
    <row r="84" spans="1:4" x14ac:dyDescent="0.25">
      <c r="A84" s="5">
        <v>41</v>
      </c>
      <c r="B84" s="12">
        <v>7</v>
      </c>
      <c r="C84" s="12">
        <v>1</v>
      </c>
      <c r="D84" s="12">
        <v>8</v>
      </c>
    </row>
    <row r="85" spans="1:4" x14ac:dyDescent="0.25">
      <c r="A85" s="5">
        <v>42</v>
      </c>
      <c r="B85" s="12">
        <v>7</v>
      </c>
      <c r="C85" s="12">
        <v>3</v>
      </c>
      <c r="D85" s="12">
        <v>10</v>
      </c>
    </row>
    <row r="86" spans="1:4" x14ac:dyDescent="0.25">
      <c r="A86" s="5">
        <v>43</v>
      </c>
      <c r="B86" s="12">
        <v>3</v>
      </c>
      <c r="C86" s="12">
        <v>3</v>
      </c>
      <c r="D86" s="12">
        <v>6</v>
      </c>
    </row>
    <row r="87" spans="1:4" x14ac:dyDescent="0.25">
      <c r="A87" s="5">
        <v>44</v>
      </c>
      <c r="B87" s="12">
        <v>4</v>
      </c>
      <c r="C87" s="12">
        <v>6</v>
      </c>
      <c r="D87" s="12">
        <v>10</v>
      </c>
    </row>
    <row r="88" spans="1:4" x14ac:dyDescent="0.25">
      <c r="A88" s="5">
        <v>45</v>
      </c>
      <c r="B88" s="12">
        <v>7</v>
      </c>
      <c r="C88" s="12">
        <v>6</v>
      </c>
      <c r="D88" s="12">
        <v>13</v>
      </c>
    </row>
    <row r="89" spans="1:4" x14ac:dyDescent="0.25">
      <c r="A89" s="5">
        <v>46</v>
      </c>
      <c r="B89" s="12">
        <v>6</v>
      </c>
      <c r="C89" s="12">
        <v>3</v>
      </c>
      <c r="D89" s="12">
        <v>9</v>
      </c>
    </row>
    <row r="90" spans="1:4" x14ac:dyDescent="0.25">
      <c r="A90" s="5">
        <v>47</v>
      </c>
      <c r="B90" s="12">
        <v>9</v>
      </c>
      <c r="C90" s="12">
        <v>4</v>
      </c>
      <c r="D90" s="12">
        <v>13</v>
      </c>
    </row>
    <row r="91" spans="1:4" x14ac:dyDescent="0.25">
      <c r="A91" s="5">
        <v>48</v>
      </c>
      <c r="B91" s="12">
        <v>5</v>
      </c>
      <c r="C91" s="12">
        <v>9</v>
      </c>
      <c r="D91" s="12">
        <v>14</v>
      </c>
    </row>
    <row r="92" spans="1:4" x14ac:dyDescent="0.25">
      <c r="A92" s="5">
        <v>49</v>
      </c>
      <c r="B92" s="12">
        <v>8</v>
      </c>
      <c r="C92" s="12">
        <v>5</v>
      </c>
      <c r="D92" s="12">
        <v>13</v>
      </c>
    </row>
    <row r="93" spans="1:4" x14ac:dyDescent="0.25">
      <c r="A93" s="5">
        <v>50</v>
      </c>
      <c r="B93" s="12">
        <v>4</v>
      </c>
      <c r="C93" s="12">
        <v>2</v>
      </c>
      <c r="D93" s="12">
        <v>6</v>
      </c>
    </row>
    <row r="94" spans="1:4" x14ac:dyDescent="0.25">
      <c r="A94" s="5">
        <v>51</v>
      </c>
      <c r="B94" s="12">
        <v>4</v>
      </c>
      <c r="C94" s="12">
        <v>3</v>
      </c>
      <c r="D94" s="12">
        <v>7</v>
      </c>
    </row>
    <row r="95" spans="1:4" x14ac:dyDescent="0.25">
      <c r="A95" s="5">
        <v>52</v>
      </c>
      <c r="B95" s="12">
        <v>3</v>
      </c>
      <c r="C95" s="12">
        <v>3</v>
      </c>
      <c r="D95" s="12">
        <v>6</v>
      </c>
    </row>
    <row r="96" spans="1:4" x14ac:dyDescent="0.25">
      <c r="A96" s="5">
        <v>53</v>
      </c>
      <c r="B96" s="12">
        <v>7</v>
      </c>
      <c r="C96" s="12">
        <v>3</v>
      </c>
      <c r="D96" s="12">
        <v>10</v>
      </c>
    </row>
    <row r="97" spans="1:4" x14ac:dyDescent="0.25">
      <c r="A97" s="5">
        <v>54</v>
      </c>
      <c r="B97" s="12">
        <v>2</v>
      </c>
      <c r="C97" s="12">
        <v>3</v>
      </c>
      <c r="D97" s="12">
        <v>5</v>
      </c>
    </row>
    <row r="98" spans="1:4" x14ac:dyDescent="0.25">
      <c r="A98" s="5">
        <v>55</v>
      </c>
      <c r="B98" s="12">
        <v>8</v>
      </c>
      <c r="C98" s="12">
        <v>1</v>
      </c>
      <c r="D98" s="12">
        <v>9</v>
      </c>
    </row>
    <row r="99" spans="1:4" x14ac:dyDescent="0.25">
      <c r="A99" s="5">
        <v>56</v>
      </c>
      <c r="B99" s="12">
        <v>5</v>
      </c>
      <c r="C99" s="12">
        <v>1</v>
      </c>
      <c r="D99" s="12">
        <v>6</v>
      </c>
    </row>
    <row r="100" spans="1:4" x14ac:dyDescent="0.25">
      <c r="A100" s="5">
        <v>57</v>
      </c>
      <c r="B100" s="12"/>
      <c r="C100" s="12">
        <v>4</v>
      </c>
      <c r="D100" s="12">
        <v>4</v>
      </c>
    </row>
    <row r="101" spans="1:4" x14ac:dyDescent="0.25">
      <c r="A101" s="5">
        <v>58</v>
      </c>
      <c r="B101" s="12">
        <v>2</v>
      </c>
      <c r="C101" s="12"/>
      <c r="D101" s="12">
        <v>2</v>
      </c>
    </row>
    <row r="102" spans="1:4" x14ac:dyDescent="0.25">
      <c r="A102" s="5">
        <v>59</v>
      </c>
      <c r="B102" s="12">
        <v>9</v>
      </c>
      <c r="C102" s="12">
        <v>1</v>
      </c>
      <c r="D102" s="12">
        <v>10</v>
      </c>
    </row>
    <row r="103" spans="1:4" x14ac:dyDescent="0.25">
      <c r="A103" s="5">
        <v>60</v>
      </c>
      <c r="B103" s="12">
        <v>5</v>
      </c>
      <c r="C103" s="12"/>
      <c r="D103" s="12">
        <v>5</v>
      </c>
    </row>
    <row r="104" spans="1:4" x14ac:dyDescent="0.25">
      <c r="A104" s="5">
        <v>61</v>
      </c>
      <c r="B104" s="12">
        <v>3</v>
      </c>
      <c r="C104" s="12">
        <v>1</v>
      </c>
      <c r="D104" s="12">
        <v>4</v>
      </c>
    </row>
    <row r="105" spans="1:4" x14ac:dyDescent="0.25">
      <c r="A105" s="5">
        <v>62</v>
      </c>
      <c r="B105" s="12">
        <v>1</v>
      </c>
      <c r="C105" s="12"/>
      <c r="D105" s="12">
        <v>1</v>
      </c>
    </row>
    <row r="106" spans="1:4" x14ac:dyDescent="0.25">
      <c r="A106" s="5">
        <v>63</v>
      </c>
      <c r="B106" s="12">
        <v>4</v>
      </c>
      <c r="C106" s="12">
        <v>1</v>
      </c>
      <c r="D106" s="12">
        <v>5</v>
      </c>
    </row>
    <row r="107" spans="1:4" x14ac:dyDescent="0.25">
      <c r="A107" s="5">
        <v>64</v>
      </c>
      <c r="B107" s="12">
        <v>6</v>
      </c>
      <c r="C107" s="12">
        <v>1</v>
      </c>
      <c r="D107" s="12">
        <v>7</v>
      </c>
    </row>
    <row r="108" spans="1:4" x14ac:dyDescent="0.25">
      <c r="A108" s="5">
        <v>65</v>
      </c>
      <c r="B108" s="12">
        <v>1</v>
      </c>
      <c r="C108" s="12"/>
      <c r="D108" s="12">
        <v>1</v>
      </c>
    </row>
    <row r="109" spans="1:4" x14ac:dyDescent="0.25">
      <c r="A109" s="5">
        <v>66</v>
      </c>
      <c r="B109" s="12">
        <v>4</v>
      </c>
      <c r="C109" s="12">
        <v>1</v>
      </c>
      <c r="D109" s="12">
        <v>5</v>
      </c>
    </row>
    <row r="110" spans="1:4" x14ac:dyDescent="0.25">
      <c r="A110" s="5">
        <v>67</v>
      </c>
      <c r="B110" s="12">
        <v>2</v>
      </c>
      <c r="C110" s="12"/>
      <c r="D110" s="12">
        <v>2</v>
      </c>
    </row>
    <row r="111" spans="1:4" x14ac:dyDescent="0.25">
      <c r="A111" s="5">
        <v>68</v>
      </c>
      <c r="B111" s="12">
        <v>1</v>
      </c>
      <c r="C111" s="12"/>
      <c r="D111" s="12">
        <v>1</v>
      </c>
    </row>
    <row r="112" spans="1:4" x14ac:dyDescent="0.25">
      <c r="A112" s="5">
        <v>69</v>
      </c>
      <c r="B112" s="12">
        <v>4</v>
      </c>
      <c r="C112" s="12"/>
      <c r="D112" s="12">
        <v>4</v>
      </c>
    </row>
    <row r="113" spans="1:4" x14ac:dyDescent="0.25">
      <c r="A113" s="5">
        <v>70</v>
      </c>
      <c r="B113" s="12">
        <v>2</v>
      </c>
      <c r="C113" s="12"/>
      <c r="D113" s="12">
        <v>2</v>
      </c>
    </row>
    <row r="114" spans="1:4" x14ac:dyDescent="0.25">
      <c r="A114" s="5">
        <v>71</v>
      </c>
      <c r="B114" s="12">
        <v>1</v>
      </c>
      <c r="C114" s="12"/>
      <c r="D114" s="12">
        <v>1</v>
      </c>
    </row>
    <row r="115" spans="1:4" x14ac:dyDescent="0.25">
      <c r="A115" s="5">
        <v>72</v>
      </c>
      <c r="B115" s="12"/>
      <c r="C115" s="12">
        <v>1</v>
      </c>
      <c r="D115" s="12">
        <v>1</v>
      </c>
    </row>
    <row r="116" spans="1:4" x14ac:dyDescent="0.25">
      <c r="A116" s="5">
        <v>73</v>
      </c>
      <c r="B116" s="12">
        <v>1</v>
      </c>
      <c r="C116" s="12">
        <v>1</v>
      </c>
      <c r="D116" s="12">
        <v>2</v>
      </c>
    </row>
    <row r="117" spans="1:4" x14ac:dyDescent="0.25">
      <c r="A117" s="5" t="s">
        <v>43</v>
      </c>
      <c r="B117" s="12">
        <v>190</v>
      </c>
      <c r="C117" s="12">
        <v>107</v>
      </c>
      <c r="D117" s="12">
        <v>297</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28630-17B2-4369-90B3-A77221AD70AF}">
  <dimension ref="C6:V9"/>
  <sheetViews>
    <sheetView showGridLines="0" zoomScale="70" zoomScaleNormal="70" workbookViewId="0">
      <selection activeCell="B37" sqref="B37"/>
    </sheetView>
  </sheetViews>
  <sheetFormatPr defaultRowHeight="15" x14ac:dyDescent="0.25"/>
  <sheetData>
    <row r="6" spans="3:22" x14ac:dyDescent="0.25">
      <c r="C6" s="7"/>
      <c r="D6" s="7"/>
      <c r="E6" s="7"/>
      <c r="F6" s="7"/>
      <c r="G6" s="8"/>
      <c r="H6" s="8"/>
      <c r="I6" s="8"/>
      <c r="J6" s="8"/>
      <c r="K6" s="8"/>
      <c r="L6" s="8"/>
      <c r="M6" s="8"/>
      <c r="N6" s="8"/>
      <c r="O6" s="8"/>
      <c r="P6" s="8"/>
      <c r="Q6" s="8"/>
      <c r="R6" s="8"/>
      <c r="S6" s="8"/>
      <c r="T6" s="8"/>
      <c r="U6" s="8"/>
      <c r="V6" s="8"/>
    </row>
    <row r="7" spans="3:22" x14ac:dyDescent="0.25">
      <c r="C7" s="7"/>
      <c r="D7" s="7"/>
      <c r="E7" s="7"/>
      <c r="F7" s="7"/>
      <c r="G7" s="8"/>
      <c r="H7" s="8"/>
      <c r="I7" s="8"/>
      <c r="J7" s="8"/>
      <c r="K7" s="8"/>
      <c r="L7" s="8"/>
      <c r="M7" s="8"/>
      <c r="N7" s="8"/>
      <c r="O7" s="8"/>
      <c r="P7" s="8"/>
      <c r="Q7" s="8"/>
      <c r="R7" s="8"/>
      <c r="S7" s="8"/>
      <c r="T7" s="8"/>
      <c r="U7" s="8"/>
      <c r="V7" s="8"/>
    </row>
    <row r="8" spans="3:22" ht="46.5" x14ac:dyDescent="0.7">
      <c r="C8" s="7"/>
      <c r="D8" s="7"/>
      <c r="E8" s="11"/>
      <c r="F8" s="7"/>
      <c r="G8" s="8"/>
      <c r="H8" s="8"/>
      <c r="I8" s="9"/>
      <c r="J8" s="8"/>
      <c r="K8" s="10" t="s">
        <v>51</v>
      </c>
      <c r="L8" s="7"/>
      <c r="M8" s="7"/>
      <c r="N8" s="10"/>
      <c r="O8" s="10"/>
      <c r="P8" s="10"/>
      <c r="Q8" s="10"/>
      <c r="R8" s="10"/>
      <c r="S8" s="7"/>
      <c r="T8" s="8"/>
      <c r="U8" s="8"/>
      <c r="V8" s="8"/>
    </row>
    <row r="9" spans="3:22" x14ac:dyDescent="0.25">
      <c r="C9" s="7"/>
      <c r="D9" s="7"/>
      <c r="E9" s="7"/>
      <c r="F9" s="7"/>
      <c r="G9" s="8"/>
      <c r="H9" s="8"/>
      <c r="I9" s="8"/>
      <c r="J9" s="8"/>
      <c r="K9" s="8"/>
      <c r="L9" s="8"/>
      <c r="M9" s="8"/>
      <c r="N9" s="8"/>
      <c r="O9" s="8"/>
      <c r="P9" s="8"/>
      <c r="Q9" s="8"/>
      <c r="R9" s="8"/>
      <c r="S9" s="8"/>
      <c r="T9" s="8"/>
      <c r="U9" s="8"/>
      <c r="V9"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Sikandar Khan</dc:creator>
  <cp:lastModifiedBy>Sikandar Khan</cp:lastModifiedBy>
  <dcterms:created xsi:type="dcterms:W3CDTF">2022-03-18T02:50:57Z</dcterms:created>
  <dcterms:modified xsi:type="dcterms:W3CDTF">2026-04-06T11:06:35Z</dcterms:modified>
</cp:coreProperties>
</file>