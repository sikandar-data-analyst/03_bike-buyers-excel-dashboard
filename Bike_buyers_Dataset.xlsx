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Notes\"/>
    </mc:Choice>
  </mc:AlternateContent>
  <xr:revisionPtr revIDLastSave="0" documentId="13_ncr:1_{B5F1B4D0-B42C-4732-8628-50815720C14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ke_buyers" sheetId="1" r:id="rId1"/>
    <sheet name="Working Sheet" sheetId="4" r:id="rId2"/>
    <sheet name="Pivot Table" sheetId="5" r:id="rId3"/>
    <sheet name="Dashbord" sheetId="6" r:id="rId4"/>
  </sheets>
  <definedNames>
    <definedName name="_xlnm._FilterDatabase" localSheetId="0" hidden="1">bike_buyers!$A$1:$M$1001</definedName>
  </definedNames>
  <calcPr calcId="191029"/>
  <pivotCaches>
    <pivotCache cacheId="2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<sst xmlns="http://schemas.openxmlformats.org/spreadsheetml/2006/main" count="16274" uniqueCount="52">
  <si>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</si>
  <si>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</si>
  <si>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</si>
  <si>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</si>
  <si>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</si>
  <si>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</si>
  <si>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</si>
  <si>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</si>
  <si>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</si>
  <si>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</si>
  <si>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</si>
  <si>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</si>
  <si>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</si>
  <si>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</si>
  <si>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</si>
  <si>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</si>
  <si>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</si>
  <si>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</si>
  <si>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</si>
  <si>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</si>
  <si>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</si>
  <si>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</si>
  <si>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</si>
  <si>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</si>
  <si>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</si>
  <si>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</si>
  <si>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</si>
  <si>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</si>
  <si>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</si>
  <si>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</si>
  <si>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</si>
  <si>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</si>
  <si>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</si>
  <si>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</si>
  <si>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</si>
  <si>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</si>
  <si>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</si>
  <si>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</si>
  <si>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Marriedarital Singletatus</t>
  </si>
  <si>
    <t>Male</t>
  </si>
  <si>
    <t>Female</t>
  </si>
  <si>
    <t>Age Brakets</t>
  </si>
  <si>
    <t>Row Labels</t>
  </si>
  <si>
    <t>Grand Total</t>
  </si>
  <si>
    <t>Average of Income</t>
  </si>
  <si>
    <t>Column Labels</t>
  </si>
  <si>
    <t>Count of Purchased Bike</t>
  </si>
  <si>
    <t>More than 10 Miles</t>
  </si>
  <si>
    <t>Adolescent</t>
  </si>
  <si>
    <t>Middle Age</t>
  </si>
  <si>
    <t>Old</t>
  </si>
  <si>
    <t>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</si>
</sst>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8" fillId="0" borderId="0" xfId="0" applyFon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  <xf numFmtId="0" fontId="17" fillId="33" borderId="0" xfId="0" applyFont="1" applyFill="1"/>
    <xf numFmtId="0" fontId="13" fillId="33" borderId="0" xfId="0" applyFont="1" applyFill="1"/>
    <xf numFmtId="0" fontId="16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Avarage</a:t>
            </a:r>
            <a:r>
              <a:rPr lang="en-IN" baseline="0"/>
              <a:t> Income Per Purchase</a:t>
            </a:r>
            <a:endParaRPr lang="en-IN"/>
          </a:p>
        </c:rich>
      </c:tx>
      <c:layout>
        <c:manualLayout>
          <c:xMode val="edge"/>
          <c:yMode val="edge"/>
          <c:x val="0.26167344706911638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08770778652668"/>
          <c:y val="0.19775891174396151"/>
          <c:w val="0.63535673665791781"/>
          <c:h val="0.544014129291107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Table'!$B$7:$B$9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8-43DF-BAD2-42F180A63A37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Table'!$C$7:$C$9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8-43DF-BAD2-42F180A63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364431"/>
        <c:axId val="1571363951"/>
      </c:barChart>
      <c:catAx>
        <c:axId val="157136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63951"/>
        <c:crosses val="autoZero"/>
        <c:auto val="1"/>
        <c:lblAlgn val="ctr"/>
        <c:lblOffset val="100"/>
        <c:noMultiLvlLbl val="0"/>
      </c:catAx>
      <c:valAx>
        <c:axId val="157136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64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Coustomer</a:t>
            </a:r>
            <a:r>
              <a:rPr lang="en-IN" baseline="0"/>
              <a:t>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Table'!$B$27:$B$32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1-487D-A505-314DCE812D65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Table'!$C$27:$C$32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B1-487D-A505-314DCE812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161855"/>
        <c:axId val="1465148415"/>
      </c:lineChart>
      <c:catAx>
        <c:axId val="146516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Commute</a:t>
                </a:r>
                <a:r>
                  <a:rPr lang="en-IN" baseline="0"/>
                  <a:t> Distance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35854046369203851"/>
              <c:y val="0.79936925423589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48415"/>
        <c:crosses val="autoZero"/>
        <c:auto val="1"/>
        <c:lblAlgn val="ctr"/>
        <c:lblOffset val="100"/>
        <c:noMultiLvlLbl val="0"/>
      </c:catAx>
      <c:valAx>
        <c:axId val="146514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6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Customr</a:t>
            </a:r>
            <a:r>
              <a:rPr lang="en-IN" baseline="0"/>
              <a:t>er Age Brakets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Table'!$B$47:$B$48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Table'!$B$49:$B$52</c:f>
              <c:numCache>
                <c:formatCode>General</c:formatCode>
                <c:ptCount val="3"/>
                <c:pt idx="0">
                  <c:v>71</c:v>
                </c:pt>
                <c:pt idx="1">
                  <c:v>313</c:v>
                </c:pt>
                <c:pt idx="2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1-40A2-B0E8-A67F177CFE6C}"/>
            </c:ext>
          </c:extLst>
        </c:ser>
        <c:ser>
          <c:idx val="1"/>
          <c:order val="1"/>
          <c:tx>
            <c:strRef>
              <c:f>'Pivot Table'!$C$47:$C$48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Table'!$C$49:$C$52</c:f>
              <c:numCache>
                <c:formatCode>General</c:formatCode>
                <c:ptCount val="3"/>
                <c:pt idx="0">
                  <c:v>39</c:v>
                </c:pt>
                <c:pt idx="1">
                  <c:v>372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1-40A2-B0E8-A67F177CF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517247"/>
        <c:axId val="1560523487"/>
      </c:lineChart>
      <c:catAx>
        <c:axId val="1560517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Braket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35716535433070867"/>
              <c:y val="0.79173811606882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23487"/>
        <c:crosses val="autoZero"/>
        <c:auto val="1"/>
        <c:lblAlgn val="ctr"/>
        <c:lblOffset val="100"/>
        <c:noMultiLvlLbl val="0"/>
      </c:catAx>
      <c:valAx>
        <c:axId val="156052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1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Table!PivotTable6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Table'!$B$67:$B$68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Table'!$A$69:$A$122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Table'!$B$69:$B$122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1-44C2-8696-508DBC7D1847}"/>
            </c:ext>
          </c:extLst>
        </c:ser>
        <c:ser>
          <c:idx val="1"/>
          <c:order val="1"/>
          <c:tx>
            <c:strRef>
              <c:f>'Pivot Table'!$C$67:$C$68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Table'!$A$69:$A$122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Table'!$C$69:$C$122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1-44C2-8696-508DBC7D1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361983"/>
        <c:axId val="2129362463"/>
      </c:lineChart>
      <c:catAx>
        <c:axId val="212936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62463"/>
        <c:crosses val="autoZero"/>
        <c:auto val="1"/>
        <c:lblAlgn val="ctr"/>
        <c:lblOffset val="100"/>
        <c:noMultiLvlLbl val="0"/>
      </c:catAx>
      <c:valAx>
        <c:axId val="212936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6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Avarage</a:t>
            </a:r>
            <a:r>
              <a:rPr lang="en-IN" baseline="0"/>
              <a:t> Income Per Purchase</a:t>
            </a:r>
            <a:endParaRPr lang="en-IN"/>
          </a:p>
        </c:rich>
      </c:tx>
      <c:layout>
        <c:manualLayout>
          <c:xMode val="edge"/>
          <c:yMode val="edge"/>
          <c:x val="0.26167344706911638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19337355557829"/>
          <c:y val="0.21333513217389885"/>
          <c:w val="0.63535673665791781"/>
          <c:h val="0.544014129291107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Table'!$B$7:$B$9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0-4151-8CC0-B9A3A67671AD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Table'!$C$7:$C$9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0-4151-8CC0-B9A3A6767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364431"/>
        <c:axId val="1571363951"/>
      </c:barChart>
      <c:catAx>
        <c:axId val="157136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63951"/>
        <c:crosses val="autoZero"/>
        <c:auto val="1"/>
        <c:lblAlgn val="ctr"/>
        <c:lblOffset val="100"/>
        <c:noMultiLvlLbl val="0"/>
      </c:catAx>
      <c:valAx>
        <c:axId val="157136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64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Coustomer</a:t>
            </a:r>
            <a:r>
              <a:rPr lang="en-IN" baseline="0"/>
              <a:t>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Table'!$B$27:$B$32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9-4D7C-9A85-9FE920DF88B2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Table'!$C$27:$C$32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9-4D7C-9A85-9FE920DF8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161855"/>
        <c:axId val="1465148415"/>
      </c:lineChart>
      <c:catAx>
        <c:axId val="146516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Commute</a:t>
                </a:r>
                <a:r>
                  <a:rPr lang="en-IN" baseline="0"/>
                  <a:t> Distance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35854046369203851"/>
              <c:y val="0.79936925423589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48415"/>
        <c:crosses val="autoZero"/>
        <c:auto val="1"/>
        <c:lblAlgn val="ctr"/>
        <c:lblOffset val="100"/>
        <c:noMultiLvlLbl val="0"/>
      </c:catAx>
      <c:valAx>
        <c:axId val="146514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6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Customr</a:t>
            </a:r>
            <a:r>
              <a:rPr lang="en-IN" baseline="0"/>
              <a:t>er Age Brakets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Table'!$B$47:$B$48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Table'!$B$49:$B$52</c:f>
              <c:numCache>
                <c:formatCode>General</c:formatCode>
                <c:ptCount val="3"/>
                <c:pt idx="0">
                  <c:v>71</c:v>
                </c:pt>
                <c:pt idx="1">
                  <c:v>313</c:v>
                </c:pt>
                <c:pt idx="2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F-452A-AE11-827661AE32A9}"/>
            </c:ext>
          </c:extLst>
        </c:ser>
        <c:ser>
          <c:idx val="1"/>
          <c:order val="1"/>
          <c:tx>
            <c:strRef>
              <c:f>'Pivot Table'!$C$47:$C$48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Table'!$A$49:$A$52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Table'!$C$49:$C$52</c:f>
              <c:numCache>
                <c:formatCode>General</c:formatCode>
                <c:ptCount val="3"/>
                <c:pt idx="0">
                  <c:v>39</c:v>
                </c:pt>
                <c:pt idx="1">
                  <c:v>372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F-452A-AE11-827661AE3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517247"/>
        <c:axId val="1560523487"/>
      </c:lineChart>
      <c:catAx>
        <c:axId val="1560517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Braket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35716535433070867"/>
              <c:y val="0.79173811606882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23487"/>
        <c:crosses val="autoZero"/>
        <c:auto val="1"/>
        <c:lblAlgn val="ctr"/>
        <c:lblOffset val="100"/>
        <c:noMultiLvlLbl val="0"/>
      </c:catAx>
      <c:valAx>
        <c:axId val="156052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1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1</xdr:row>
      <xdr:rowOff>152400</xdr:rowOff>
    </xdr:from>
    <xdr:to>
      <xdr:col>12</xdr:col>
      <xdr:colOff>518160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C8808-6D69-45B2-7C44-44757375E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23</xdr:row>
      <xdr:rowOff>175260</xdr:rowOff>
    </xdr:from>
    <xdr:to>
      <xdr:col>12</xdr:col>
      <xdr:colOff>327660</xdr:colOff>
      <xdr:row>39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AE02E1-601A-D284-A208-FF7A2B6AB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</xdr:colOff>
      <xdr:row>46</xdr:row>
      <xdr:rowOff>7620</xdr:rowOff>
    </xdr:from>
    <xdr:to>
      <xdr:col>12</xdr:col>
      <xdr:colOff>327660</xdr:colOff>
      <xdr:row>61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A7585E-2C3C-445A-B342-AE0CEC194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66</xdr:row>
      <xdr:rowOff>22860</xdr:rowOff>
    </xdr:from>
    <xdr:to>
      <xdr:col>12</xdr:col>
      <xdr:colOff>304800</xdr:colOff>
      <xdr:row>81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3968EE-A911-172D-8986-2A81D026F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348070</xdr:colOff>
      <xdr:row>9</xdr:row>
      <xdr:rowOff>168182</xdr:rowOff>
    </xdr:from>
    <xdr:to>
      <xdr:col>14</xdr:col>
      <xdr:colOff>188050</xdr:colOff>
      <xdr:row>24</xdr:row>
      <xdr:rowOff>4080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ED832F-ACD7-492D-9AC7-40DA75652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527413</xdr:colOff>
      <xdr:row>9</xdr:row>
      <xdr:rowOff>176076</xdr:rowOff>
    </xdr:from>
    <xdr:to>
      <xdr:col>22</xdr:col>
      <xdr:colOff>210627</xdr:colOff>
      <xdr:row>24</xdr:row>
      <xdr:rowOff>95794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F9EFD9-52EB-46AE-8B75-086D8EEAA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195398</xdr:colOff>
      <xdr:row>26</xdr:row>
      <xdr:rowOff>61504</xdr:rowOff>
    </xdr:from>
    <xdr:to>
      <xdr:col>17</xdr:col>
      <xdr:colOff>488212</xdr:colOff>
      <xdr:row>41</xdr:row>
      <xdr:rowOff>15270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2B2E60E-DD8B-4569-9EFB-E5238908D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kandar Khan" refreshedDate="46082.901302199076" createdVersion="8" refreshedVersion="8" minRefreshableVersion="3" recordCount="1000" xr:uid="{B3849A2C-CF3A-4371-8441-C01B183D8600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riedarital Singletatus" numFmtId="0">
      <sharedItems/>
    </cacheField>
    <cacheField name="Gender" numFmtId="0">
      <sharedItems count="2">
        <s v="Female"/>
        <s v="Male"/>
      </sharedItems>
    </cacheField>
    <cacheField name="Income" numFmtId="168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1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1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1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1"/>
    <x v="1"/>
  </r>
  <r>
    <n v="25026"/>
    <s v="Married"/>
    <x v="1"/>
    <n v="20000"/>
    <n v="2"/>
    <s v="Partial High School"/>
    <s v="Clerical"/>
    <s v="Yes"/>
    <n v="3"/>
    <x v="2"/>
    <s v="Pacific"/>
    <x v="9"/>
    <x v="1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1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1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1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1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1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1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1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1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1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1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1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1E5E9-96C5-4762-953F-D2E9166156E2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7:D122" firstHeaderRow="1" firstDataRow="2" firstDataCol="1"/>
  <pivotFields count="14">
    <pivotField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5F613-89B2-4BC3-92C1-4AE3F589CBC6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7:D52" firstHeaderRow="1" firstDataRow="2" firstDataCol="1"/>
  <pivotFields count="14">
    <pivotField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DD7AC-E78A-4816-9732-EAC673709C47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5:D32" firstHeaderRow="1" firstDataRow="2" firstDataCol="1"/>
  <pivotFields count="14">
    <pivotField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2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2640B-52E8-4E60-9D46-4896C84CE059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5:D9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"/>
  </dataFields>
  <formats count="1">
    <format dxfId="0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C39C-52ED-45E8-8F75-9F4BBE19E615}">
  <dimension ref="A1:N1001"/>
  <sheetViews>
    <sheetView workbookViewId="0">
      <selection activeCell="J13" sqref="J13"/>
    </sheetView>
  </sheetViews>
  <sheetFormatPr defaultColWidth="11.88671875" defaultRowHeight="14.4" x14ac:dyDescent="0.3"/>
  <cols>
    <col min="2" max="2" width="22.33203125" customWidth="1"/>
    <col min="4" max="4" width="12.5546875" style="3" bestFit="1" customWidth="1"/>
    <col min="10" max="10" width="17.5546875" customWidth="1"/>
    <col min="13" max="13" width="19.5546875" customWidth="1"/>
    <col min="14" max="14" width="15.44140625" customWidth="1"/>
  </cols>
  <sheetData>
    <row r="1" spans="1:14" x14ac:dyDescent="0.3">
      <c r="A1" t="s">
        <v>0</v>
      </c>
      <c r="B1" t="s">
        <v>38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3">
      <c r="A2">
        <v>12496</v>
      </c>
      <c r="B2" t="s">
        <v>36</v>
      </c>
      <c r="C2" t="s">
        <v>40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IF(L2&gt;=54,"Old",IF(L2&gt;=31,"Middle Age",IF(L2&lt;31,"Adolescent","Invalid")))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IF(L3&gt;=54,"Old",IF(L3&gt;=31,"Middle Age",IF(L3&lt;31,"Adolescent","Invalid")))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40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40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Old</v>
      </c>
      <c r="N12" t="s">
        <v>15</v>
      </c>
    </row>
    <row r="13" spans="1:14" x14ac:dyDescent="0.3">
      <c r="A13">
        <v>12697</v>
      </c>
      <c r="B13" t="s">
        <v>37</v>
      </c>
      <c r="C13" t="s">
        <v>40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47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40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40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40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40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47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40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37</v>
      </c>
      <c r="C29" t="s">
        <v>40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40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40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37</v>
      </c>
      <c r="C34" t="s">
        <v>40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40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40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40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37</v>
      </c>
      <c r="C41" t="s">
        <v>40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40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40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40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40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40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40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40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40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40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47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40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40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40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47</v>
      </c>
      <c r="K57" t="s">
        <v>17</v>
      </c>
      <c r="L57">
        <v>54</v>
      </c>
      <c r="M57" t="str">
        <f t="shared" si="0"/>
        <v>Old</v>
      </c>
      <c r="N57" t="s">
        <v>18</v>
      </c>
    </row>
    <row r="58" spans="1:14" x14ac:dyDescent="0.3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40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40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40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47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40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IF(L67&gt;=54,"Old",IF(L67&gt;=31,"Middle Age",IF(L67&lt;31,"Adolescent","Invalid")))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40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40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40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47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40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40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40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40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40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40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47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40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40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40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37</v>
      </c>
      <c r="C94" t="s">
        <v>40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40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40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40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47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36</v>
      </c>
      <c r="C101" t="s">
        <v>40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40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40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40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40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40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40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40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40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36</v>
      </c>
      <c r="C118" t="s">
        <v>40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40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40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36</v>
      </c>
      <c r="C122" t="s">
        <v>40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40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47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40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40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IF(L131&gt;=54,"Old",IF(L131&gt;=31,"Middle Age",IF(L131&lt;31,"Adolescent","Invalid")))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40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40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40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40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40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40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47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40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40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40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40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40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40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Old</v>
      </c>
      <c r="N160" t="s">
        <v>15</v>
      </c>
    </row>
    <row r="161" spans="1:14" x14ac:dyDescent="0.3">
      <c r="A161">
        <v>20797</v>
      </c>
      <c r="B161" t="s">
        <v>36</v>
      </c>
      <c r="C161" t="s">
        <v>40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40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40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40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36</v>
      </c>
      <c r="C167" t="s">
        <v>40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47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40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40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40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40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40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37</v>
      </c>
      <c r="C179" t="s">
        <v>40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47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40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40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40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40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47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40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40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47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40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47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40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47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40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47</v>
      </c>
      <c r="K195" t="s">
        <v>24</v>
      </c>
      <c r="L195">
        <v>41</v>
      </c>
      <c r="M195" t="str">
        <f t="shared" ref="M195:M258" si="3">IF(L195&gt;=54,"Old",IF(L195&gt;=31,"Middle Age",IF(L195&lt;31,"Adolescent","Invalid")))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40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37</v>
      </c>
      <c r="C198" t="s">
        <v>40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40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47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40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40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47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40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37</v>
      </c>
      <c r="C210" t="s">
        <v>40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40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40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40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40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47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Old</v>
      </c>
      <c r="N217" t="s">
        <v>15</v>
      </c>
    </row>
    <row r="218" spans="1:14" x14ac:dyDescent="0.3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Old</v>
      </c>
      <c r="N218" t="s">
        <v>18</v>
      </c>
    </row>
    <row r="219" spans="1:14" x14ac:dyDescent="0.3">
      <c r="A219">
        <v>13673</v>
      </c>
      <c r="B219" t="s">
        <v>37</v>
      </c>
      <c r="C219" t="s">
        <v>40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40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40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47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40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40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40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47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47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40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40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47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40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40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40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40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40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40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36</v>
      </c>
      <c r="C246" t="s">
        <v>40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47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40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40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47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40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47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40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40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IF(L259&gt;=54,"Old",IF(L259&gt;=31,"Middle Age",IF(L259&lt;31,"Adolescent","Invalid")))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40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47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40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40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40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40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47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40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40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40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40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40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40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36</v>
      </c>
      <c r="C276" t="s">
        <v>40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40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40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40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47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40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40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40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40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40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Old</v>
      </c>
      <c r="N291" t="s">
        <v>15</v>
      </c>
    </row>
    <row r="292" spans="1:14" x14ac:dyDescent="0.3">
      <c r="A292">
        <v>28319</v>
      </c>
      <c r="B292" t="s">
        <v>37</v>
      </c>
      <c r="C292" t="s">
        <v>40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40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40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40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47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40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40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Old</v>
      </c>
      <c r="N300" t="s">
        <v>15</v>
      </c>
    </row>
    <row r="301" spans="1:14" x14ac:dyDescent="0.3">
      <c r="A301">
        <v>13136</v>
      </c>
      <c r="B301" t="s">
        <v>36</v>
      </c>
      <c r="C301" t="s">
        <v>40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40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40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40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40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47</v>
      </c>
      <c r="K320" t="s">
        <v>17</v>
      </c>
      <c r="L320">
        <v>54</v>
      </c>
      <c r="M320" t="str">
        <f t="shared" si="4"/>
        <v>Old</v>
      </c>
      <c r="N320" t="s">
        <v>18</v>
      </c>
    </row>
    <row r="321" spans="1:14" x14ac:dyDescent="0.3">
      <c r="A321">
        <v>11386</v>
      </c>
      <c r="B321" t="s">
        <v>36</v>
      </c>
      <c r="C321" t="s">
        <v>40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40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IF(L323&gt;=54,"Old",IF(L323&gt;=31,"Middle Age",IF(L323&lt;31,"Adolescent","Invalid")))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40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40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40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40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47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40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47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37</v>
      </c>
      <c r="C334" t="s">
        <v>40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40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37</v>
      </c>
      <c r="C343" t="s">
        <v>40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40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40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40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40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40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47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40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40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47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40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40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40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40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40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40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40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40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47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37</v>
      </c>
      <c r="C376" t="s">
        <v>40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40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47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36</v>
      </c>
      <c r="C383" t="s">
        <v>40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47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40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IF(L387&gt;=54,"Old",IF(L387&gt;=31,"Middle Age",IF(L387&lt;31,"Adolescent","Invalid")))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40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47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40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40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40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40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40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40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40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40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40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47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40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Old</v>
      </c>
      <c r="N406" t="s">
        <v>15</v>
      </c>
    </row>
    <row r="407" spans="1:14" x14ac:dyDescent="0.3">
      <c r="A407">
        <v>22439</v>
      </c>
      <c r="B407" t="s">
        <v>36</v>
      </c>
      <c r="C407" t="s">
        <v>40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40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40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40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40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40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40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40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40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40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40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47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47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40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37</v>
      </c>
      <c r="C429" t="s">
        <v>40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40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40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36</v>
      </c>
      <c r="C434" t="s">
        <v>40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47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40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36</v>
      </c>
      <c r="C436" t="s">
        <v>40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40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40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40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37</v>
      </c>
      <c r="C440" t="s">
        <v>40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47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40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40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40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47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40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40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40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IF(L451&gt;=54,"Old",IF(L451&gt;=31,"Middle Age",IF(L451&lt;31,"Adolescent","Invalid")))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40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40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40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40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40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40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47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40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47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40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40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40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40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40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40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40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40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40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40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40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40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40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40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47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40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40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47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47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40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40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40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40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36</v>
      </c>
      <c r="C505" t="s">
        <v>40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40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40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40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40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47</v>
      </c>
      <c r="K515" t="s">
        <v>32</v>
      </c>
      <c r="L515">
        <v>61</v>
      </c>
      <c r="M515" t="str">
        <f t="shared" ref="M515:M578" si="8">IF(L515&gt;=54,"Old",IF(L515&gt;=31,"Middle Age",IF(L515&lt;31,"Adolescent","Invalid")))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40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40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40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47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40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47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40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40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47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37</v>
      </c>
      <c r="C534" t="s">
        <v>40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47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47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47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40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40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40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40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40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36</v>
      </c>
      <c r="C545" t="s">
        <v>40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40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40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40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40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47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47</v>
      </c>
      <c r="K554" t="s">
        <v>32</v>
      </c>
      <c r="L554">
        <v>54</v>
      </c>
      <c r="M554" t="str">
        <f t="shared" si="8"/>
        <v>Old</v>
      </c>
      <c r="N554" t="s">
        <v>15</v>
      </c>
    </row>
    <row r="555" spans="1:14" x14ac:dyDescent="0.3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40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40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40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40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47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40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40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40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40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Old</v>
      </c>
      <c r="N567" t="s">
        <v>15</v>
      </c>
    </row>
    <row r="568" spans="1:14" x14ac:dyDescent="0.3">
      <c r="A568">
        <v>18847</v>
      </c>
      <c r="B568" t="s">
        <v>36</v>
      </c>
      <c r="C568" t="s">
        <v>40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47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40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47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40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IF(L579&gt;=54,"Old",IF(L579&gt;=31,"Middle Age",IF(L579&lt;31,"Adolescent","Invalid")))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40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40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47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47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40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40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47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47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40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47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40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40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40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40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40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40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47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40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40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40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40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40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40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40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36</v>
      </c>
      <c r="C622" t="s">
        <v>40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40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40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40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36</v>
      </c>
      <c r="C629" t="s">
        <v>40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40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40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40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40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40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40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47</v>
      </c>
      <c r="K643" t="s">
        <v>32</v>
      </c>
      <c r="L643">
        <v>64</v>
      </c>
      <c r="M643" t="str">
        <f t="shared" ref="M643:M706" si="10">IF(L643&gt;=54,"Old",IF(L643&gt;=31,"Middle Age",IF(L643&lt;31,"Adolescent","Invalid")))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40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40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40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47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40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40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40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40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40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47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40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40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47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40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37</v>
      </c>
      <c r="C664" t="s">
        <v>40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40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40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40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40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47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40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40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47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40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40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37</v>
      </c>
      <c r="C675" t="s">
        <v>40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40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47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40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40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40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40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40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40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37</v>
      </c>
      <c r="C692" t="s">
        <v>40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40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40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36</v>
      </c>
      <c r="C699" t="s">
        <v>40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40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40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40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40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47</v>
      </c>
      <c r="K707" t="s">
        <v>32</v>
      </c>
      <c r="L707">
        <v>59</v>
      </c>
      <c r="M707" t="str">
        <f t="shared" ref="M707:M770" si="11">IF(L707&gt;=54,"Old",IF(L707&gt;=31,"Middle Age",IF(L707&lt;31,"Adolescent","Invalid")))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40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40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47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40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47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40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47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40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40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36</v>
      </c>
      <c r="C717" t="s">
        <v>40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40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40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40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40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40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36</v>
      </c>
      <c r="C731" t="s">
        <v>40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40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40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40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40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40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40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47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36</v>
      </c>
      <c r="C743" t="s">
        <v>40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40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47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40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47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40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40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40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36</v>
      </c>
      <c r="C756" t="s">
        <v>40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40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40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40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47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40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37</v>
      </c>
      <c r="C767" t="s">
        <v>40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47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40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40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40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IF(L771&gt;=54,"Old",IF(L771&gt;=31,"Middle Age",IF(L771&lt;31,"Adolescent","Invalid")))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40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40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47</v>
      </c>
      <c r="K777" t="s">
        <v>32</v>
      </c>
      <c r="L777">
        <v>54</v>
      </c>
      <c r="M777" t="str">
        <f t="shared" si="12"/>
        <v>Old</v>
      </c>
      <c r="N777" t="s">
        <v>18</v>
      </c>
    </row>
    <row r="778" spans="1:14" x14ac:dyDescent="0.3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40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47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40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40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36</v>
      </c>
      <c r="C788" t="s">
        <v>40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40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40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40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37</v>
      </c>
      <c r="C800" t="s">
        <v>40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37</v>
      </c>
      <c r="C801" t="s">
        <v>40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37</v>
      </c>
      <c r="C807" t="s">
        <v>40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40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40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40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40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40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47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40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47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40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36</v>
      </c>
      <c r="C818" t="s">
        <v>40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40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37</v>
      </c>
      <c r="C821" t="s">
        <v>40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40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40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40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40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40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40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IF(L835&gt;=54,"Old",IF(L835&gt;=31,"Middle Age",IF(L835&lt;31,"Adolescent","Invalid")))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40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Old</v>
      </c>
      <c r="N836" t="s">
        <v>15</v>
      </c>
    </row>
    <row r="837" spans="1:14" x14ac:dyDescent="0.3">
      <c r="A837">
        <v>12922</v>
      </c>
      <c r="B837" t="s">
        <v>37</v>
      </c>
      <c r="C837" t="s">
        <v>40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40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40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40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47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40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40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47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40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40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40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40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40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40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40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36</v>
      </c>
      <c r="C859" t="s">
        <v>40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40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40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47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47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40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47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37</v>
      </c>
      <c r="C874" t="s">
        <v>40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40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40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40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40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40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40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40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40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40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40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40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IF(L899&gt;=54,"Old",IF(L899&gt;=31,"Middle Age",IF(L899&lt;31,"Adolescent","Invalid")))</f>
        <v>Adolescent</v>
      </c>
      <c r="N899" t="s">
        <v>18</v>
      </c>
    </row>
    <row r="900" spans="1:14" x14ac:dyDescent="0.3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47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40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47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40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40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47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40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40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47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40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40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47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40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40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Old</v>
      </c>
      <c r="N924" t="s">
        <v>15</v>
      </c>
    </row>
    <row r="925" spans="1:14" x14ac:dyDescent="0.3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40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40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47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40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47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40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40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40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40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40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40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40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40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Old</v>
      </c>
      <c r="N944" t="s">
        <v>18</v>
      </c>
    </row>
    <row r="945" spans="1:14" x14ac:dyDescent="0.3">
      <c r="A945">
        <v>24322</v>
      </c>
      <c r="B945" t="s">
        <v>36</v>
      </c>
      <c r="C945" t="s">
        <v>40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40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40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40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40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47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40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40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40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40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40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40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40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IF(L963&gt;=54,"Old",IF(L963&gt;=31,"Middle Age",IF(L963&lt;31,"Adolescent","Invalid")))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47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40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47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40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40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40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40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40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40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47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40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40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47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40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47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40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47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47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47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40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37</v>
      </c>
      <c r="C993" t="s">
        <v>40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Old</v>
      </c>
      <c r="N997" t="s">
        <v>15</v>
      </c>
    </row>
    <row r="998" spans="1:14" x14ac:dyDescent="0.3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47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C3CE-1B55-43F8-A1D0-42B18D40C723}">
  <dimension ref="A5:D122"/>
  <sheetViews>
    <sheetView topLeftCell="A31" zoomScale="89" zoomScaleNormal="89" workbookViewId="0">
      <selection activeCell="B70" sqref="B70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5" spans="1:4" x14ac:dyDescent="0.3">
      <c r="A5" s="4" t="s">
        <v>44</v>
      </c>
      <c r="B5" s="4" t="s">
        <v>45</v>
      </c>
    </row>
    <row r="6" spans="1:4" x14ac:dyDescent="0.3">
      <c r="A6" s="4" t="s">
        <v>42</v>
      </c>
      <c r="B6" t="s">
        <v>18</v>
      </c>
      <c r="C6" t="s">
        <v>15</v>
      </c>
      <c r="D6" t="s">
        <v>43</v>
      </c>
    </row>
    <row r="7" spans="1:4" x14ac:dyDescent="0.3">
      <c r="A7" s="5" t="s">
        <v>40</v>
      </c>
      <c r="B7" s="6">
        <v>53440</v>
      </c>
      <c r="C7" s="6">
        <v>55774.058577405856</v>
      </c>
      <c r="D7" s="6">
        <v>54580.777096114522</v>
      </c>
    </row>
    <row r="8" spans="1:4" x14ac:dyDescent="0.3">
      <c r="A8" s="5" t="s">
        <v>39</v>
      </c>
      <c r="B8" s="6">
        <v>56208.178438661707</v>
      </c>
      <c r="C8" s="6">
        <v>60123.966942148763</v>
      </c>
      <c r="D8" s="6">
        <v>58062.62230919765</v>
      </c>
    </row>
    <row r="9" spans="1:4" x14ac:dyDescent="0.3">
      <c r="A9" s="5" t="s">
        <v>43</v>
      </c>
      <c r="B9" s="6">
        <v>54874.759152215796</v>
      </c>
      <c r="C9" s="6">
        <v>57962.577962577961</v>
      </c>
      <c r="D9" s="6">
        <v>56360</v>
      </c>
    </row>
    <row r="25" spans="1:4" x14ac:dyDescent="0.3">
      <c r="A25" s="4" t="s">
        <v>46</v>
      </c>
      <c r="B25" s="4" t="s">
        <v>45</v>
      </c>
    </row>
    <row r="26" spans="1:4" x14ac:dyDescent="0.3">
      <c r="A26" s="4" t="s">
        <v>42</v>
      </c>
      <c r="B26" t="s">
        <v>18</v>
      </c>
      <c r="C26" t="s">
        <v>15</v>
      </c>
      <c r="D26" t="s">
        <v>43</v>
      </c>
    </row>
    <row r="27" spans="1:4" x14ac:dyDescent="0.3">
      <c r="A27" s="5" t="s">
        <v>16</v>
      </c>
      <c r="B27" s="7">
        <v>166</v>
      </c>
      <c r="C27" s="7">
        <v>200</v>
      </c>
      <c r="D27" s="7">
        <v>366</v>
      </c>
    </row>
    <row r="28" spans="1:4" x14ac:dyDescent="0.3">
      <c r="A28" s="5" t="s">
        <v>26</v>
      </c>
      <c r="B28" s="7">
        <v>92</v>
      </c>
      <c r="C28" s="7">
        <v>77</v>
      </c>
      <c r="D28" s="7">
        <v>169</v>
      </c>
    </row>
    <row r="29" spans="1:4" x14ac:dyDescent="0.3">
      <c r="A29" s="5" t="s">
        <v>22</v>
      </c>
      <c r="B29" s="7">
        <v>67</v>
      </c>
      <c r="C29" s="7">
        <v>95</v>
      </c>
      <c r="D29" s="7">
        <v>162</v>
      </c>
    </row>
    <row r="30" spans="1:4" x14ac:dyDescent="0.3">
      <c r="A30" s="5" t="s">
        <v>23</v>
      </c>
      <c r="B30" s="7">
        <v>116</v>
      </c>
      <c r="C30" s="7">
        <v>76</v>
      </c>
      <c r="D30" s="7">
        <v>192</v>
      </c>
    </row>
    <row r="31" spans="1:4" x14ac:dyDescent="0.3">
      <c r="A31" s="5" t="s">
        <v>47</v>
      </c>
      <c r="B31" s="7">
        <v>78</v>
      </c>
      <c r="C31" s="7">
        <v>33</v>
      </c>
      <c r="D31" s="7">
        <v>111</v>
      </c>
    </row>
    <row r="32" spans="1:4" x14ac:dyDescent="0.3">
      <c r="A32" s="5" t="s">
        <v>43</v>
      </c>
      <c r="B32" s="7">
        <v>519</v>
      </c>
      <c r="C32" s="7">
        <v>481</v>
      </c>
      <c r="D32" s="7">
        <v>1000</v>
      </c>
    </row>
    <row r="47" spans="1:4" x14ac:dyDescent="0.3">
      <c r="A47" s="4" t="s">
        <v>46</v>
      </c>
      <c r="B47" s="4" t="s">
        <v>45</v>
      </c>
    </row>
    <row r="48" spans="1:4" x14ac:dyDescent="0.3">
      <c r="A48" s="4" t="s">
        <v>42</v>
      </c>
      <c r="B48" t="s">
        <v>18</v>
      </c>
      <c r="C48" t="s">
        <v>15</v>
      </c>
      <c r="D48" t="s">
        <v>43</v>
      </c>
    </row>
    <row r="49" spans="1:4" x14ac:dyDescent="0.3">
      <c r="A49" s="5" t="s">
        <v>48</v>
      </c>
      <c r="B49" s="7">
        <v>71</v>
      </c>
      <c r="C49" s="7">
        <v>39</v>
      </c>
      <c r="D49" s="7">
        <v>110</v>
      </c>
    </row>
    <row r="50" spans="1:4" x14ac:dyDescent="0.3">
      <c r="A50" s="5" t="s">
        <v>49</v>
      </c>
      <c r="B50" s="7">
        <v>313</v>
      </c>
      <c r="C50" s="7">
        <v>372</v>
      </c>
      <c r="D50" s="7">
        <v>685</v>
      </c>
    </row>
    <row r="51" spans="1:4" x14ac:dyDescent="0.3">
      <c r="A51" s="5" t="s">
        <v>50</v>
      </c>
      <c r="B51" s="7">
        <v>135</v>
      </c>
      <c r="C51" s="7">
        <v>70</v>
      </c>
      <c r="D51" s="7">
        <v>205</v>
      </c>
    </row>
    <row r="52" spans="1:4" x14ac:dyDescent="0.3">
      <c r="A52" s="5" t="s">
        <v>43</v>
      </c>
      <c r="B52" s="7">
        <v>519</v>
      </c>
      <c r="C52" s="7">
        <v>481</v>
      </c>
      <c r="D52" s="7">
        <v>1000</v>
      </c>
    </row>
    <row r="67" spans="1:4" x14ac:dyDescent="0.3">
      <c r="A67" s="4" t="s">
        <v>46</v>
      </c>
      <c r="B67" s="4" t="s">
        <v>45</v>
      </c>
    </row>
    <row r="68" spans="1:4" x14ac:dyDescent="0.3">
      <c r="A68" s="4" t="s">
        <v>42</v>
      </c>
      <c r="B68" t="s">
        <v>18</v>
      </c>
      <c r="C68" t="s">
        <v>15</v>
      </c>
      <c r="D68" t="s">
        <v>43</v>
      </c>
    </row>
    <row r="69" spans="1:4" x14ac:dyDescent="0.3">
      <c r="A69" s="5">
        <v>25</v>
      </c>
      <c r="B69" s="7">
        <v>2</v>
      </c>
      <c r="C69" s="7">
        <v>4</v>
      </c>
      <c r="D69" s="7">
        <v>6</v>
      </c>
    </row>
    <row r="70" spans="1:4" x14ac:dyDescent="0.3">
      <c r="A70" s="5">
        <v>26</v>
      </c>
      <c r="B70" s="7">
        <v>8</v>
      </c>
      <c r="C70" s="7">
        <v>8</v>
      </c>
      <c r="D70" s="7">
        <v>16</v>
      </c>
    </row>
    <row r="71" spans="1:4" x14ac:dyDescent="0.3">
      <c r="A71" s="5">
        <v>27</v>
      </c>
      <c r="B71" s="7">
        <v>15</v>
      </c>
      <c r="C71" s="7">
        <v>8</v>
      </c>
      <c r="D71" s="7">
        <v>23</v>
      </c>
    </row>
    <row r="72" spans="1:4" x14ac:dyDescent="0.3">
      <c r="A72" s="5">
        <v>28</v>
      </c>
      <c r="B72" s="7">
        <v>12</v>
      </c>
      <c r="C72" s="7">
        <v>10</v>
      </c>
      <c r="D72" s="7">
        <v>22</v>
      </c>
    </row>
    <row r="73" spans="1:4" x14ac:dyDescent="0.3">
      <c r="A73" s="5">
        <v>29</v>
      </c>
      <c r="B73" s="7">
        <v>11</v>
      </c>
      <c r="C73" s="7">
        <v>5</v>
      </c>
      <c r="D73" s="7">
        <v>16</v>
      </c>
    </row>
    <row r="74" spans="1:4" x14ac:dyDescent="0.3">
      <c r="A74" s="5">
        <v>30</v>
      </c>
      <c r="B74" s="7">
        <v>23</v>
      </c>
      <c r="C74" s="7">
        <v>4</v>
      </c>
      <c r="D74" s="7">
        <v>27</v>
      </c>
    </row>
    <row r="75" spans="1:4" x14ac:dyDescent="0.3">
      <c r="A75" s="5">
        <v>31</v>
      </c>
      <c r="B75" s="7">
        <v>17</v>
      </c>
      <c r="C75" s="7">
        <v>8</v>
      </c>
      <c r="D75" s="7">
        <v>25</v>
      </c>
    </row>
    <row r="76" spans="1:4" x14ac:dyDescent="0.3">
      <c r="A76" s="5">
        <v>32</v>
      </c>
      <c r="B76" s="7">
        <v>19</v>
      </c>
      <c r="C76" s="7">
        <v>14</v>
      </c>
      <c r="D76" s="7">
        <v>33</v>
      </c>
    </row>
    <row r="77" spans="1:4" x14ac:dyDescent="0.3">
      <c r="A77" s="5">
        <v>33</v>
      </c>
      <c r="B77" s="7">
        <v>8</v>
      </c>
      <c r="C77" s="7">
        <v>13</v>
      </c>
      <c r="D77" s="7">
        <v>21</v>
      </c>
    </row>
    <row r="78" spans="1:4" x14ac:dyDescent="0.3">
      <c r="A78" s="5">
        <v>34</v>
      </c>
      <c r="B78" s="7">
        <v>12</v>
      </c>
      <c r="C78" s="7">
        <v>19</v>
      </c>
      <c r="D78" s="7">
        <v>31</v>
      </c>
    </row>
    <row r="79" spans="1:4" x14ac:dyDescent="0.3">
      <c r="A79" s="5">
        <v>35</v>
      </c>
      <c r="B79" s="7">
        <v>14</v>
      </c>
      <c r="C79" s="7">
        <v>22</v>
      </c>
      <c r="D79" s="7">
        <v>36</v>
      </c>
    </row>
    <row r="80" spans="1:4" x14ac:dyDescent="0.3">
      <c r="A80" s="5">
        <v>36</v>
      </c>
      <c r="B80" s="7">
        <v>7</v>
      </c>
      <c r="C80" s="7">
        <v>30</v>
      </c>
      <c r="D80" s="7">
        <v>37</v>
      </c>
    </row>
    <row r="81" spans="1:4" x14ac:dyDescent="0.3">
      <c r="A81" s="5">
        <v>37</v>
      </c>
      <c r="B81" s="7">
        <v>4</v>
      </c>
      <c r="C81" s="7">
        <v>28</v>
      </c>
      <c r="D81" s="7">
        <v>32</v>
      </c>
    </row>
    <row r="82" spans="1:4" x14ac:dyDescent="0.3">
      <c r="A82" s="5">
        <v>38</v>
      </c>
      <c r="B82" s="7">
        <v>8</v>
      </c>
      <c r="C82" s="7">
        <v>29</v>
      </c>
      <c r="D82" s="7">
        <v>37</v>
      </c>
    </row>
    <row r="83" spans="1:4" x14ac:dyDescent="0.3">
      <c r="A83" s="5">
        <v>39</v>
      </c>
      <c r="B83" s="7">
        <v>10</v>
      </c>
      <c r="C83" s="7">
        <v>12</v>
      </c>
      <c r="D83" s="7">
        <v>22</v>
      </c>
    </row>
    <row r="84" spans="1:4" x14ac:dyDescent="0.3">
      <c r="A84" s="5">
        <v>40</v>
      </c>
      <c r="B84" s="7">
        <v>24</v>
      </c>
      <c r="C84" s="7">
        <v>18</v>
      </c>
      <c r="D84" s="7">
        <v>42</v>
      </c>
    </row>
    <row r="85" spans="1:4" x14ac:dyDescent="0.3">
      <c r="A85" s="5">
        <v>41</v>
      </c>
      <c r="B85" s="7">
        <v>13</v>
      </c>
      <c r="C85" s="7">
        <v>15</v>
      </c>
      <c r="D85" s="7">
        <v>28</v>
      </c>
    </row>
    <row r="86" spans="1:4" x14ac:dyDescent="0.3">
      <c r="A86" s="5">
        <v>42</v>
      </c>
      <c r="B86" s="7">
        <v>22</v>
      </c>
      <c r="C86" s="7">
        <v>12</v>
      </c>
      <c r="D86" s="7">
        <v>34</v>
      </c>
    </row>
    <row r="87" spans="1:4" x14ac:dyDescent="0.3">
      <c r="A87" s="5">
        <v>43</v>
      </c>
      <c r="B87" s="7">
        <v>17</v>
      </c>
      <c r="C87" s="7">
        <v>19</v>
      </c>
      <c r="D87" s="7">
        <v>36</v>
      </c>
    </row>
    <row r="88" spans="1:4" x14ac:dyDescent="0.3">
      <c r="A88" s="5">
        <v>44</v>
      </c>
      <c r="B88" s="7">
        <v>15</v>
      </c>
      <c r="C88" s="7">
        <v>12</v>
      </c>
      <c r="D88" s="7">
        <v>27</v>
      </c>
    </row>
    <row r="89" spans="1:4" x14ac:dyDescent="0.3">
      <c r="A89" s="5">
        <v>45</v>
      </c>
      <c r="B89" s="7">
        <v>18</v>
      </c>
      <c r="C89" s="7">
        <v>13</v>
      </c>
      <c r="D89" s="7">
        <v>31</v>
      </c>
    </row>
    <row r="90" spans="1:4" x14ac:dyDescent="0.3">
      <c r="A90" s="5">
        <v>46</v>
      </c>
      <c r="B90" s="7">
        <v>12</v>
      </c>
      <c r="C90" s="7">
        <v>15</v>
      </c>
      <c r="D90" s="7">
        <v>27</v>
      </c>
    </row>
    <row r="91" spans="1:4" x14ac:dyDescent="0.3">
      <c r="A91" s="5">
        <v>47</v>
      </c>
      <c r="B91" s="7">
        <v>19</v>
      </c>
      <c r="C91" s="7">
        <v>20</v>
      </c>
      <c r="D91" s="7">
        <v>39</v>
      </c>
    </row>
    <row r="92" spans="1:4" x14ac:dyDescent="0.3">
      <c r="A92" s="5">
        <v>48</v>
      </c>
      <c r="B92" s="7">
        <v>16</v>
      </c>
      <c r="C92" s="7">
        <v>13</v>
      </c>
      <c r="D92" s="7">
        <v>29</v>
      </c>
    </row>
    <row r="93" spans="1:4" x14ac:dyDescent="0.3">
      <c r="A93" s="5">
        <v>49</v>
      </c>
      <c r="B93" s="7">
        <v>15</v>
      </c>
      <c r="C93" s="7">
        <v>8</v>
      </c>
      <c r="D93" s="7">
        <v>23</v>
      </c>
    </row>
    <row r="94" spans="1:4" x14ac:dyDescent="0.3">
      <c r="A94" s="5">
        <v>50</v>
      </c>
      <c r="B94" s="7">
        <v>12</v>
      </c>
      <c r="C94" s="7">
        <v>12</v>
      </c>
      <c r="D94" s="7">
        <v>24</v>
      </c>
    </row>
    <row r="95" spans="1:4" x14ac:dyDescent="0.3">
      <c r="A95" s="5">
        <v>51</v>
      </c>
      <c r="B95" s="7">
        <v>10</v>
      </c>
      <c r="C95" s="7">
        <v>12</v>
      </c>
      <c r="D95" s="7">
        <v>22</v>
      </c>
    </row>
    <row r="96" spans="1:4" x14ac:dyDescent="0.3">
      <c r="A96" s="5">
        <v>52</v>
      </c>
      <c r="B96" s="7">
        <v>10</v>
      </c>
      <c r="C96" s="7">
        <v>15</v>
      </c>
      <c r="D96" s="7">
        <v>25</v>
      </c>
    </row>
    <row r="97" spans="1:4" x14ac:dyDescent="0.3">
      <c r="A97" s="5">
        <v>53</v>
      </c>
      <c r="B97" s="7">
        <v>11</v>
      </c>
      <c r="C97" s="7">
        <v>13</v>
      </c>
      <c r="D97" s="7">
        <v>24</v>
      </c>
    </row>
    <row r="98" spans="1:4" x14ac:dyDescent="0.3">
      <c r="A98" s="5">
        <v>54</v>
      </c>
      <c r="B98" s="7">
        <v>5</v>
      </c>
      <c r="C98" s="7">
        <v>11</v>
      </c>
      <c r="D98" s="7">
        <v>16</v>
      </c>
    </row>
    <row r="99" spans="1:4" x14ac:dyDescent="0.3">
      <c r="A99" s="5">
        <v>55</v>
      </c>
      <c r="B99" s="7">
        <v>13</v>
      </c>
      <c r="C99" s="7">
        <v>5</v>
      </c>
      <c r="D99" s="7">
        <v>18</v>
      </c>
    </row>
    <row r="100" spans="1:4" x14ac:dyDescent="0.3">
      <c r="A100" s="5">
        <v>56</v>
      </c>
      <c r="B100" s="7">
        <v>13</v>
      </c>
      <c r="C100" s="7">
        <v>3</v>
      </c>
      <c r="D100" s="7">
        <v>16</v>
      </c>
    </row>
    <row r="101" spans="1:4" x14ac:dyDescent="0.3">
      <c r="A101" s="5">
        <v>57</v>
      </c>
      <c r="B101" s="7">
        <v>4</v>
      </c>
      <c r="C101" s="7">
        <v>4</v>
      </c>
      <c r="D101" s="7">
        <v>8</v>
      </c>
    </row>
    <row r="102" spans="1:4" x14ac:dyDescent="0.3">
      <c r="A102" s="5">
        <v>58</v>
      </c>
      <c r="B102" s="7">
        <v>8</v>
      </c>
      <c r="C102" s="7">
        <v>4</v>
      </c>
      <c r="D102" s="7">
        <v>12</v>
      </c>
    </row>
    <row r="103" spans="1:4" x14ac:dyDescent="0.3">
      <c r="A103" s="5">
        <v>59</v>
      </c>
      <c r="B103" s="7">
        <v>14</v>
      </c>
      <c r="C103" s="7">
        <v>6</v>
      </c>
      <c r="D103" s="7">
        <v>20</v>
      </c>
    </row>
    <row r="104" spans="1:4" x14ac:dyDescent="0.3">
      <c r="A104" s="5">
        <v>60</v>
      </c>
      <c r="B104" s="7">
        <v>8</v>
      </c>
      <c r="C104" s="7">
        <v>7</v>
      </c>
      <c r="D104" s="7">
        <v>15</v>
      </c>
    </row>
    <row r="105" spans="1:4" x14ac:dyDescent="0.3">
      <c r="A105" s="5">
        <v>61</v>
      </c>
      <c r="B105" s="7">
        <v>5</v>
      </c>
      <c r="C105" s="7">
        <v>4</v>
      </c>
      <c r="D105" s="7">
        <v>9</v>
      </c>
    </row>
    <row r="106" spans="1:4" x14ac:dyDescent="0.3">
      <c r="A106" s="5">
        <v>62</v>
      </c>
      <c r="B106" s="7">
        <v>9</v>
      </c>
      <c r="C106" s="7">
        <v>4</v>
      </c>
      <c r="D106" s="7">
        <v>13</v>
      </c>
    </row>
    <row r="107" spans="1:4" x14ac:dyDescent="0.3">
      <c r="A107" s="5">
        <v>63</v>
      </c>
      <c r="B107" s="7">
        <v>7</v>
      </c>
      <c r="C107" s="7">
        <v>2</v>
      </c>
      <c r="D107" s="7">
        <v>9</v>
      </c>
    </row>
    <row r="108" spans="1:4" x14ac:dyDescent="0.3">
      <c r="A108" s="5">
        <v>64</v>
      </c>
      <c r="B108" s="7">
        <v>7</v>
      </c>
      <c r="C108" s="7">
        <v>3</v>
      </c>
      <c r="D108" s="7">
        <v>10</v>
      </c>
    </row>
    <row r="109" spans="1:4" x14ac:dyDescent="0.3">
      <c r="A109" s="5">
        <v>65</v>
      </c>
      <c r="B109" s="7">
        <v>6</v>
      </c>
      <c r="C109" s="7">
        <v>3</v>
      </c>
      <c r="D109" s="7">
        <v>9</v>
      </c>
    </row>
    <row r="110" spans="1:4" x14ac:dyDescent="0.3">
      <c r="A110" s="5">
        <v>66</v>
      </c>
      <c r="B110" s="7">
        <v>8</v>
      </c>
      <c r="C110" s="7">
        <v>6</v>
      </c>
      <c r="D110" s="7">
        <v>14</v>
      </c>
    </row>
    <row r="111" spans="1:4" x14ac:dyDescent="0.3">
      <c r="A111" s="5">
        <v>67</v>
      </c>
      <c r="B111" s="7">
        <v>8</v>
      </c>
      <c r="C111" s="7">
        <v>2</v>
      </c>
      <c r="D111" s="7">
        <v>10</v>
      </c>
    </row>
    <row r="112" spans="1:4" x14ac:dyDescent="0.3">
      <c r="A112" s="5">
        <v>68</v>
      </c>
      <c r="B112" s="7">
        <v>3</v>
      </c>
      <c r="C112" s="7"/>
      <c r="D112" s="7">
        <v>3</v>
      </c>
    </row>
    <row r="113" spans="1:4" x14ac:dyDescent="0.3">
      <c r="A113" s="5">
        <v>69</v>
      </c>
      <c r="B113" s="7">
        <v>8</v>
      </c>
      <c r="C113" s="7"/>
      <c r="D113" s="7">
        <v>8</v>
      </c>
    </row>
    <row r="114" spans="1:4" x14ac:dyDescent="0.3">
      <c r="A114" s="5">
        <v>70</v>
      </c>
      <c r="B114" s="7">
        <v>3</v>
      </c>
      <c r="C114" s="7">
        <v>1</v>
      </c>
      <c r="D114" s="7">
        <v>4</v>
      </c>
    </row>
    <row r="115" spans="1:4" x14ac:dyDescent="0.3">
      <c r="A115" s="5">
        <v>71</v>
      </c>
      <c r="B115" s="7">
        <v>1</v>
      </c>
      <c r="C115" s="7"/>
      <c r="D115" s="7">
        <v>1</v>
      </c>
    </row>
    <row r="116" spans="1:4" x14ac:dyDescent="0.3">
      <c r="A116" s="5">
        <v>72</v>
      </c>
      <c r="B116" s="7"/>
      <c r="C116" s="7">
        <v>1</v>
      </c>
      <c r="D116" s="7">
        <v>1</v>
      </c>
    </row>
    <row r="117" spans="1:4" x14ac:dyDescent="0.3">
      <c r="A117" s="5">
        <v>73</v>
      </c>
      <c r="B117" s="7">
        <v>2</v>
      </c>
      <c r="C117" s="7">
        <v>2</v>
      </c>
      <c r="D117" s="7">
        <v>4</v>
      </c>
    </row>
    <row r="118" spans="1:4" x14ac:dyDescent="0.3">
      <c r="A118" s="5">
        <v>74</v>
      </c>
      <c r="B118" s="7"/>
      <c r="C118" s="7">
        <v>1</v>
      </c>
      <c r="D118" s="7">
        <v>1</v>
      </c>
    </row>
    <row r="119" spans="1:4" x14ac:dyDescent="0.3">
      <c r="A119" s="5">
        <v>78</v>
      </c>
      <c r="B119" s="7">
        <v>1</v>
      </c>
      <c r="C119" s="7">
        <v>1</v>
      </c>
      <c r="D119" s="7">
        <v>2</v>
      </c>
    </row>
    <row r="120" spans="1:4" x14ac:dyDescent="0.3">
      <c r="A120" s="5">
        <v>80</v>
      </c>
      <c r="B120" s="7">
        <v>1</v>
      </c>
      <c r="C120" s="7"/>
      <c r="D120" s="7">
        <v>1</v>
      </c>
    </row>
    <row r="121" spans="1:4" x14ac:dyDescent="0.3">
      <c r="A121" s="5">
        <v>89</v>
      </c>
      <c r="B121" s="7">
        <v>1</v>
      </c>
      <c r="C121" s="7"/>
      <c r="D121" s="7">
        <v>1</v>
      </c>
    </row>
    <row r="122" spans="1:4" x14ac:dyDescent="0.3">
      <c r="A122" s="5" t="s">
        <v>43</v>
      </c>
      <c r="B122" s="7">
        <v>519</v>
      </c>
      <c r="C122" s="7">
        <v>481</v>
      </c>
      <c r="D122" s="7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8630-17B2-4369-90B3-A77221AD70AF}">
  <dimension ref="E6:V9"/>
  <sheetViews>
    <sheetView showGridLines="0" tabSelected="1" zoomScale="70" zoomScaleNormal="70" workbookViewId="0">
      <selection activeCell="M8" sqref="M8"/>
    </sheetView>
  </sheetViews>
  <sheetFormatPr defaultRowHeight="14.4" x14ac:dyDescent="0.3"/>
  <sheetData>
    <row r="6" spans="5:22" x14ac:dyDescent="0.3"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5:22" x14ac:dyDescent="0.3"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5:22" ht="15.6" x14ac:dyDescent="0.3">
      <c r="E8" s="10"/>
      <c r="G8" s="9"/>
      <c r="H8" s="9"/>
      <c r="I8" s="11"/>
      <c r="J8" s="9"/>
      <c r="K8" s="9"/>
      <c r="L8" s="9"/>
      <c r="M8" s="8" t="s">
        <v>51</v>
      </c>
      <c r="N8" s="9"/>
      <c r="O8" s="9"/>
      <c r="P8" s="9"/>
      <c r="Q8" s="9"/>
      <c r="R8" s="9"/>
      <c r="S8" s="9"/>
      <c r="T8" s="9"/>
      <c r="U8" s="9"/>
      <c r="V8" s="9"/>
    </row>
    <row r="9" spans="5:22" x14ac:dyDescent="0.3"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Sikandar Khan</cp:lastModifiedBy>
  <dcterms:created xsi:type="dcterms:W3CDTF">2022-03-18T02:50:57Z</dcterms:created>
  <dcterms:modified xsi:type="dcterms:W3CDTF">2026-03-01T16:46:17Z</dcterms:modified>
</cp:coreProperties>
</file>